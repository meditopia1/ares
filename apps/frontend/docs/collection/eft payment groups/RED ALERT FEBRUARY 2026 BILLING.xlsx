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DR FINANCE PARTNERS/Red Alert Group/BILLING/"/>
    </mc:Choice>
  </mc:AlternateContent>
  <xr:revisionPtr revIDLastSave="0" documentId="8_{BC0B1D9B-A78F-494E-8268-ED30581CAF2F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G29" i="1"/>
  <c r="F29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" i="1"/>
</calcChain>
</file>

<file path=xl/sharedStrings.xml><?xml version="1.0" encoding="utf-8"?>
<sst xmlns="http://schemas.openxmlformats.org/spreadsheetml/2006/main" count="166" uniqueCount="157">
  <si>
    <t>Day1 Health (Pty) Ltd  VAT no - 4070190766
PO Box 782622, Sandton City, 2146
Tel: 0861 113 513  Fax: 086 690 4818
Email: admin@day1.co.za  Web: www.day1.co.za
RED ALERT SECURITY Feb 26</t>
  </si>
  <si>
    <t>Member Number</t>
  </si>
  <si>
    <t>DAY17012323</t>
  </si>
  <si>
    <t>DAY17012325</t>
  </si>
  <si>
    <t>DAY17012330</t>
  </si>
  <si>
    <t>DAY17012964</t>
  </si>
  <si>
    <t>DAY17012966</t>
  </si>
  <si>
    <t>DAY17017500</t>
  </si>
  <si>
    <t>DAY17021586</t>
  </si>
  <si>
    <t>DAY17032826</t>
  </si>
  <si>
    <t>DAY17041397</t>
  </si>
  <si>
    <t>DAY17042897</t>
  </si>
  <si>
    <t>DAY17043789</t>
  </si>
  <si>
    <t>DAY17047238</t>
  </si>
  <si>
    <t>DAY17047983</t>
  </si>
  <si>
    <t>DAY17048029</t>
  </si>
  <si>
    <t>DAY17041566</t>
  </si>
  <si>
    <t>DAY17051184</t>
  </si>
  <si>
    <t>DAY17051235</t>
  </si>
  <si>
    <t>DAY17051884</t>
  </si>
  <si>
    <t>DAY17054547</t>
  </si>
  <si>
    <t>DAY17055357</t>
  </si>
  <si>
    <t>DAY17055361</t>
  </si>
  <si>
    <t>DAY17055363</t>
  </si>
  <si>
    <t>DAY17025789</t>
  </si>
  <si>
    <t>DAY17056222</t>
  </si>
  <si>
    <t>DAY17056274</t>
  </si>
  <si>
    <t>DAY17056354</t>
  </si>
  <si>
    <t>Name</t>
  </si>
  <si>
    <t>NOGOLIDE</t>
  </si>
  <si>
    <t>THANDISWA</t>
  </si>
  <si>
    <t>NOZUKO</t>
  </si>
  <si>
    <t>ZOLEKA</t>
  </si>
  <si>
    <t>NOBATEMBU</t>
  </si>
  <si>
    <t>SIPHOKAZI</t>
  </si>
  <si>
    <t>ZUKISWA</t>
  </si>
  <si>
    <t>CIKIZWA</t>
  </si>
  <si>
    <t>NOMALUNGISA</t>
  </si>
  <si>
    <t>AKHONA</t>
  </si>
  <si>
    <t>MZWAMADODA</t>
  </si>
  <si>
    <t>PHELISA</t>
  </si>
  <si>
    <t>KHAYALETHU</t>
  </si>
  <si>
    <t xml:space="preserve">NDZIBELE </t>
  </si>
  <si>
    <t>ZUZIWE</t>
  </si>
  <si>
    <t>THEMBISA</t>
  </si>
  <si>
    <t>THEMBAKAZI</t>
  </si>
  <si>
    <t>NCEBAKAZI</t>
  </si>
  <si>
    <t>THEMLA</t>
  </si>
  <si>
    <t>PHINDEKA</t>
  </si>
  <si>
    <t>CODELIA</t>
  </si>
  <si>
    <t>TSIDISO</t>
  </si>
  <si>
    <t>ZINTLE</t>
  </si>
  <si>
    <t>YOLLANDA</t>
  </si>
  <si>
    <t>NOSIPHO</t>
  </si>
  <si>
    <t>ZENANDE</t>
  </si>
  <si>
    <t>Surname</t>
  </si>
  <si>
    <t>KOSHE</t>
  </si>
  <si>
    <t>XENXE</t>
  </si>
  <si>
    <t>NOGAGA</t>
  </si>
  <si>
    <t>RWANQA</t>
  </si>
  <si>
    <t>KLAAS</t>
  </si>
  <si>
    <t>GWADA</t>
  </si>
  <si>
    <t>ZAKE</t>
  </si>
  <si>
    <t>FANDESE</t>
  </si>
  <si>
    <t>MAQASHO</t>
  </si>
  <si>
    <t>BOOI</t>
  </si>
  <si>
    <t>TUSHENI</t>
  </si>
  <si>
    <t>NOGQWAZI</t>
  </si>
  <si>
    <t>JANUARY</t>
  </si>
  <si>
    <t>MBEKI</t>
  </si>
  <si>
    <t>MATAMBO</t>
  </si>
  <si>
    <t>YEKANI</t>
  </si>
  <si>
    <t>VITHI</t>
  </si>
  <si>
    <t>SIBONDA</t>
  </si>
  <si>
    <t>MELAPI</t>
  </si>
  <si>
    <t>WILLIAM</t>
  </si>
  <si>
    <t>MEME</t>
  </si>
  <si>
    <t>GQATE</t>
  </si>
  <si>
    <t>MPULAMPULA-PETER</t>
  </si>
  <si>
    <t>MAFILIKA</t>
  </si>
  <si>
    <t>TUTU</t>
  </si>
  <si>
    <t>NGWENI</t>
  </si>
  <si>
    <t>ID Number</t>
  </si>
  <si>
    <t>6811180345088</t>
  </si>
  <si>
    <t>7112310676081</t>
  </si>
  <si>
    <t>EC</t>
  </si>
  <si>
    <t>7207130573086</t>
  </si>
  <si>
    <t>6802240774086</t>
  </si>
  <si>
    <t>8804220341082</t>
  </si>
  <si>
    <t>7806260865087</t>
  </si>
  <si>
    <t>8204180896086</t>
  </si>
  <si>
    <t>9002060778088</t>
  </si>
  <si>
    <t>8904170651082</t>
  </si>
  <si>
    <t>7901046076081</t>
  </si>
  <si>
    <t>8104220778080</t>
  </si>
  <si>
    <t>7308056029085</t>
  </si>
  <si>
    <t>8408150547088</t>
  </si>
  <si>
    <t>8501021345086</t>
  </si>
  <si>
    <t>7501013137088</t>
  </si>
  <si>
    <t>8908141160081</t>
  </si>
  <si>
    <t>8709300509088</t>
  </si>
  <si>
    <t>7603100542087</t>
  </si>
  <si>
    <t>8310271071081</t>
  </si>
  <si>
    <t>7908040554088</t>
  </si>
  <si>
    <t>8604141318080</t>
  </si>
  <si>
    <t>8603100541088</t>
  </si>
  <si>
    <t>7509130672085</t>
  </si>
  <si>
    <t>7503201059082</t>
  </si>
  <si>
    <t>0003120753086</t>
  </si>
  <si>
    <t>Commence Date</t>
  </si>
  <si>
    <t>2015-07-01</t>
  </si>
  <si>
    <t>2015-08-01</t>
  </si>
  <si>
    <t>2016-04-01</t>
  </si>
  <si>
    <t>2017-02-01</t>
  </si>
  <si>
    <t>2019-04-01</t>
  </si>
  <si>
    <t>2021-08-01</t>
  </si>
  <si>
    <t>2022-02-01</t>
  </si>
  <si>
    <t>2022-06-01</t>
  </si>
  <si>
    <t>2023-05-01</t>
  </si>
  <si>
    <t>2023-07-01</t>
  </si>
  <si>
    <t>2024-04-01</t>
  </si>
  <si>
    <t>2024-06-01</t>
  </si>
  <si>
    <t>2025-02-01</t>
  </si>
  <si>
    <t>2025-05-01</t>
  </si>
  <si>
    <t>2025-10-01</t>
  </si>
  <si>
    <t>2025-11-01</t>
  </si>
  <si>
    <t>2025-12-01</t>
  </si>
  <si>
    <t>Premium</t>
  </si>
  <si>
    <t xml:space="preserve">Employee Nr </t>
  </si>
  <si>
    <t>EC3148</t>
  </si>
  <si>
    <t>EC0281</t>
  </si>
  <si>
    <t>EC3147</t>
  </si>
  <si>
    <t>EC3078</t>
  </si>
  <si>
    <t>EC3022</t>
  </si>
  <si>
    <t>EC1636</t>
  </si>
  <si>
    <t>EC2186</t>
  </si>
  <si>
    <t>EC6536</t>
  </si>
  <si>
    <t>EC7645</t>
  </si>
  <si>
    <t>EC 7790</t>
  </si>
  <si>
    <t>EC7717</t>
  </si>
  <si>
    <t>EC7644</t>
  </si>
  <si>
    <t>EC7847</t>
  </si>
  <si>
    <t>EC8003</t>
  </si>
  <si>
    <t>EC6308</t>
  </si>
  <si>
    <t>EC1610</t>
  </si>
  <si>
    <t>EC6306</t>
  </si>
  <si>
    <t>EC2434</t>
  </si>
  <si>
    <t>EC1605</t>
  </si>
  <si>
    <t>EC1521</t>
  </si>
  <si>
    <t>EC6193</t>
  </si>
  <si>
    <t>EC8130</t>
  </si>
  <si>
    <t>EC2301</t>
  </si>
  <si>
    <t>EC8193</t>
  </si>
  <si>
    <t>EC0166</t>
  </si>
  <si>
    <t>EC8137</t>
  </si>
  <si>
    <t>Discount</t>
  </si>
  <si>
    <t xml:space="preserve">Net premium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</si>
</sst>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  <xf numFmtId="0" fontId="1" fillId="2" borderId="5" xfId="0" applyFont="1" applyFill="1" applyBorder="1" applyAlignment="1">
      <alignment horizontal="left" vertical="top" wrapText="1" shrinkToFit="1"/>
    </xf>
    <xf numFmtId="0" fontId="2" fillId="3" borderId="5" xfId="0" applyFont="1" applyFill="1" applyBorder="1" applyAlignment="1">
      <alignment horizontal="left" vertical="top" wrapText="1" shrinkToFit="1"/>
    </xf>
    <xf numFmtId="2" fontId="4" fillId="5" borderId="5" xfId="0" applyNumberFormat="1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workbookViewId="0">
      <selection activeCell="A3" sqref="A3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8" width="12.3984375" customWidth="1"/>
    <col min="9" max="9" width="10.19921875" customWidth="1"/>
    <col min="10" max="10" width="10.296875" customWidth="1"/>
  </cols>
  <sheetData>
    <row r="1" spans="1:10" ht="66.599999999999994" customHeight="1" x14ac:dyDescent="0.25">
      <c r="A1" s="5" t="s">
        <v>0</v>
      </c>
      <c r="B1" s="5"/>
      <c r="C1" s="5"/>
      <c r="D1" s="5"/>
      <c r="E1" s="5"/>
      <c r="F1" s="5"/>
      <c r="G1" s="7"/>
      <c r="H1" s="7"/>
      <c r="I1" s="5"/>
      <c r="J1" s="5"/>
    </row>
    <row r="2" spans="1:10" x14ac:dyDescent="0.25">
      <c r="A2" s="1" t="s">
        <v>1</v>
      </c>
      <c r="B2" s="1" t="s">
        <v>28</v>
      </c>
      <c r="C2" s="1" t="s">
        <v>55</v>
      </c>
      <c r="D2" s="1" t="s">
        <v>82</v>
      </c>
      <c r="E2" s="1" t="s">
        <v>109</v>
      </c>
      <c r="F2" s="1" t="s">
        <v>127</v>
      </c>
      <c r="G2" s="8" t="s">
        <v>155</v>
      </c>
      <c r="H2" s="8" t="s">
        <v>156</v>
      </c>
      <c r="I2" s="6" t="s">
        <v>128</v>
      </c>
      <c r="J2" s="6"/>
    </row>
    <row r="3" spans="1:10" x14ac:dyDescent="0.25">
      <c r="A3" s="2" t="s">
        <v>2</v>
      </c>
      <c r="B3" s="2" t="s">
        <v>29</v>
      </c>
      <c r="C3" s="2" t="s">
        <v>56</v>
      </c>
      <c r="D3" s="2" t="s">
        <v>83</v>
      </c>
      <c r="E3" s="2" t="s">
        <v>110</v>
      </c>
      <c r="F3" s="3">
        <v>295</v>
      </c>
      <c r="G3" s="9">
        <v>20</v>
      </c>
      <c r="H3" s="9">
        <f>F3-G3</f>
        <v>275</v>
      </c>
      <c r="I3" s="2" t="s">
        <v>129</v>
      </c>
    </row>
    <row r="4" spans="1:10" x14ac:dyDescent="0.25">
      <c r="A4" s="2" t="s">
        <v>3</v>
      </c>
      <c r="B4" s="2" t="s">
        <v>30</v>
      </c>
      <c r="C4" s="2" t="s">
        <v>57</v>
      </c>
      <c r="D4" s="2" t="s">
        <v>84</v>
      </c>
      <c r="E4" s="2" t="s">
        <v>110</v>
      </c>
      <c r="F4" s="3">
        <v>295</v>
      </c>
      <c r="G4" s="9">
        <v>20</v>
      </c>
      <c r="H4" s="9">
        <f t="shared" ref="H4:H28" si="0">F4-G4</f>
        <v>275</v>
      </c>
      <c r="I4" s="2" t="s">
        <v>130</v>
      </c>
    </row>
    <row r="5" spans="1:10" x14ac:dyDescent="0.25">
      <c r="A5" s="2" t="s">
        <v>4</v>
      </c>
      <c r="B5" s="2" t="s">
        <v>31</v>
      </c>
      <c r="C5" s="2" t="s">
        <v>58</v>
      </c>
      <c r="D5" s="2" t="s">
        <v>85</v>
      </c>
      <c r="E5" s="2" t="s">
        <v>110</v>
      </c>
      <c r="F5" s="3">
        <v>295</v>
      </c>
      <c r="G5" s="9">
        <v>20</v>
      </c>
      <c r="H5" s="9">
        <f t="shared" si="0"/>
        <v>275</v>
      </c>
      <c r="I5" s="2" t="s">
        <v>131</v>
      </c>
    </row>
    <row r="6" spans="1:10" x14ac:dyDescent="0.25">
      <c r="A6" s="2" t="s">
        <v>5</v>
      </c>
      <c r="B6" s="2" t="s">
        <v>32</v>
      </c>
      <c r="C6" s="2" t="s">
        <v>59</v>
      </c>
      <c r="D6" s="2" t="s">
        <v>86</v>
      </c>
      <c r="E6" s="2" t="s">
        <v>111</v>
      </c>
      <c r="F6" s="3">
        <v>350</v>
      </c>
      <c r="G6" s="9">
        <v>20</v>
      </c>
      <c r="H6" s="9">
        <f t="shared" si="0"/>
        <v>330</v>
      </c>
      <c r="I6" s="2" t="s">
        <v>132</v>
      </c>
    </row>
    <row r="7" spans="1:10" x14ac:dyDescent="0.25">
      <c r="A7" s="2" t="s">
        <v>6</v>
      </c>
      <c r="B7" s="2" t="s">
        <v>33</v>
      </c>
      <c r="C7" s="2" t="s">
        <v>60</v>
      </c>
      <c r="D7" s="2" t="s">
        <v>87</v>
      </c>
      <c r="E7" s="2" t="s">
        <v>111</v>
      </c>
      <c r="F7" s="3">
        <v>450</v>
      </c>
      <c r="G7" s="9">
        <v>20</v>
      </c>
      <c r="H7" s="9">
        <f t="shared" si="0"/>
        <v>430</v>
      </c>
      <c r="I7" s="2" t="s">
        <v>133</v>
      </c>
    </row>
    <row r="8" spans="1:10" x14ac:dyDescent="0.25">
      <c r="A8" s="2" t="s">
        <v>7</v>
      </c>
      <c r="B8" s="2" t="s">
        <v>34</v>
      </c>
      <c r="C8" s="2" t="s">
        <v>61</v>
      </c>
      <c r="D8" s="2" t="s">
        <v>88</v>
      </c>
      <c r="E8" s="2" t="s">
        <v>112</v>
      </c>
      <c r="F8" s="3">
        <v>295</v>
      </c>
      <c r="G8" s="9">
        <v>20</v>
      </c>
      <c r="H8" s="9">
        <f t="shared" si="0"/>
        <v>275</v>
      </c>
      <c r="I8" s="2" t="s">
        <v>134</v>
      </c>
    </row>
    <row r="9" spans="1:10" x14ac:dyDescent="0.25">
      <c r="A9" s="2" t="s">
        <v>8</v>
      </c>
      <c r="B9" s="2" t="s">
        <v>35</v>
      </c>
      <c r="C9" s="2" t="s">
        <v>62</v>
      </c>
      <c r="D9" s="2" t="s">
        <v>89</v>
      </c>
      <c r="E9" s="2" t="s">
        <v>113</v>
      </c>
      <c r="F9" s="3">
        <v>295</v>
      </c>
      <c r="G9" s="9">
        <v>20</v>
      </c>
      <c r="H9" s="9">
        <f t="shared" si="0"/>
        <v>275</v>
      </c>
      <c r="I9" s="2" t="s">
        <v>135</v>
      </c>
    </row>
    <row r="10" spans="1:10" x14ac:dyDescent="0.25">
      <c r="A10" s="2" t="s">
        <v>9</v>
      </c>
      <c r="B10" s="2" t="s">
        <v>36</v>
      </c>
      <c r="C10" s="2" t="s">
        <v>63</v>
      </c>
      <c r="D10" s="2" t="s">
        <v>90</v>
      </c>
      <c r="E10" s="2" t="s">
        <v>114</v>
      </c>
      <c r="F10" s="3">
        <v>350</v>
      </c>
      <c r="G10" s="9">
        <v>20</v>
      </c>
      <c r="H10" s="9">
        <f t="shared" si="0"/>
        <v>330</v>
      </c>
      <c r="I10" s="2" t="s">
        <v>136</v>
      </c>
    </row>
    <row r="11" spans="1:10" x14ac:dyDescent="0.25">
      <c r="A11" s="2" t="s">
        <v>10</v>
      </c>
      <c r="B11" s="2" t="s">
        <v>37</v>
      </c>
      <c r="C11" s="2" t="s">
        <v>64</v>
      </c>
      <c r="D11" s="2" t="s">
        <v>91</v>
      </c>
      <c r="E11" s="2" t="s">
        <v>115</v>
      </c>
      <c r="F11" s="3">
        <v>295</v>
      </c>
      <c r="G11" s="9">
        <v>20</v>
      </c>
      <c r="H11" s="9">
        <f t="shared" si="0"/>
        <v>275</v>
      </c>
      <c r="I11" s="2" t="s">
        <v>137</v>
      </c>
    </row>
    <row r="12" spans="1:10" x14ac:dyDescent="0.25">
      <c r="A12" s="2" t="s">
        <v>11</v>
      </c>
      <c r="B12" s="2" t="s">
        <v>38</v>
      </c>
      <c r="C12" s="2" t="s">
        <v>65</v>
      </c>
      <c r="D12" s="2" t="s">
        <v>92</v>
      </c>
      <c r="E12" s="2" t="s">
        <v>116</v>
      </c>
      <c r="F12" s="3">
        <v>295</v>
      </c>
      <c r="G12" s="9">
        <v>20</v>
      </c>
      <c r="H12" s="9">
        <f t="shared" si="0"/>
        <v>275</v>
      </c>
      <c r="I12" s="2" t="s">
        <v>138</v>
      </c>
    </row>
    <row r="13" spans="1:10" x14ac:dyDescent="0.25">
      <c r="A13" s="2" t="s">
        <v>12</v>
      </c>
      <c r="B13" s="2" t="s">
        <v>39</v>
      </c>
      <c r="C13" s="2" t="s">
        <v>66</v>
      </c>
      <c r="D13" s="2" t="s">
        <v>93</v>
      </c>
      <c r="E13" s="2" t="s">
        <v>117</v>
      </c>
      <c r="F13" s="3">
        <v>295</v>
      </c>
      <c r="G13" s="9">
        <v>20</v>
      </c>
      <c r="H13" s="9">
        <f t="shared" si="0"/>
        <v>275</v>
      </c>
      <c r="I13" s="2" t="s">
        <v>139</v>
      </c>
    </row>
    <row r="14" spans="1:10" x14ac:dyDescent="0.25">
      <c r="A14" s="2" t="s">
        <v>13</v>
      </c>
      <c r="B14" s="2" t="s">
        <v>40</v>
      </c>
      <c r="C14" s="2" t="s">
        <v>67</v>
      </c>
      <c r="D14" s="2" t="s">
        <v>94</v>
      </c>
      <c r="E14" s="2" t="s">
        <v>118</v>
      </c>
      <c r="F14" s="3">
        <v>295</v>
      </c>
      <c r="G14" s="9">
        <v>20</v>
      </c>
      <c r="H14" s="9">
        <f t="shared" si="0"/>
        <v>275</v>
      </c>
      <c r="I14" s="2" t="s">
        <v>140</v>
      </c>
    </row>
    <row r="15" spans="1:10" x14ac:dyDescent="0.25">
      <c r="A15" s="2" t="s">
        <v>14</v>
      </c>
      <c r="B15" s="2" t="s">
        <v>41</v>
      </c>
      <c r="C15" s="2" t="s">
        <v>68</v>
      </c>
      <c r="D15" s="2" t="s">
        <v>95</v>
      </c>
      <c r="E15" s="2" t="s">
        <v>119</v>
      </c>
      <c r="F15" s="3">
        <v>350</v>
      </c>
      <c r="G15" s="9">
        <v>20</v>
      </c>
      <c r="H15" s="9">
        <f t="shared" si="0"/>
        <v>330</v>
      </c>
      <c r="I15" s="2" t="s">
        <v>141</v>
      </c>
    </row>
    <row r="16" spans="1:10" x14ac:dyDescent="0.25">
      <c r="A16" s="2" t="s">
        <v>15</v>
      </c>
      <c r="B16" s="2" t="s">
        <v>42</v>
      </c>
      <c r="C16" s="2" t="s">
        <v>69</v>
      </c>
      <c r="D16" s="2" t="s">
        <v>96</v>
      </c>
      <c r="E16" s="2" t="s">
        <v>119</v>
      </c>
      <c r="F16" s="3">
        <v>295</v>
      </c>
      <c r="G16" s="9">
        <v>20</v>
      </c>
      <c r="H16" s="9">
        <f t="shared" si="0"/>
        <v>275</v>
      </c>
      <c r="I16" s="2" t="s">
        <v>142</v>
      </c>
    </row>
    <row r="17" spans="1:9" x14ac:dyDescent="0.25">
      <c r="A17" s="2" t="s">
        <v>16</v>
      </c>
      <c r="B17" s="2" t="s">
        <v>43</v>
      </c>
      <c r="C17" s="2" t="s">
        <v>70</v>
      </c>
      <c r="D17" s="2" t="s">
        <v>97</v>
      </c>
      <c r="E17" s="2" t="s">
        <v>119</v>
      </c>
      <c r="F17" s="3">
        <v>295</v>
      </c>
      <c r="G17" s="9">
        <v>20</v>
      </c>
      <c r="H17" s="9">
        <f t="shared" si="0"/>
        <v>275</v>
      </c>
      <c r="I17" s="2" t="s">
        <v>143</v>
      </c>
    </row>
    <row r="18" spans="1:9" x14ac:dyDescent="0.25">
      <c r="A18" s="2" t="s">
        <v>17</v>
      </c>
      <c r="B18" s="2" t="s">
        <v>44</v>
      </c>
      <c r="C18" s="2" t="s">
        <v>71</v>
      </c>
      <c r="D18" s="2" t="s">
        <v>98</v>
      </c>
      <c r="E18" s="2" t="s">
        <v>120</v>
      </c>
      <c r="F18" s="3">
        <v>295</v>
      </c>
      <c r="G18" s="9">
        <v>20</v>
      </c>
      <c r="H18" s="9">
        <f t="shared" si="0"/>
        <v>275</v>
      </c>
      <c r="I18" s="2" t="s">
        <v>144</v>
      </c>
    </row>
    <row r="19" spans="1:9" x14ac:dyDescent="0.25">
      <c r="A19" s="2" t="s">
        <v>18</v>
      </c>
      <c r="B19" s="2" t="s">
        <v>45</v>
      </c>
      <c r="C19" s="2" t="s">
        <v>72</v>
      </c>
      <c r="D19" s="2" t="s">
        <v>99</v>
      </c>
      <c r="E19" s="2" t="s">
        <v>120</v>
      </c>
      <c r="F19" s="3">
        <v>250</v>
      </c>
      <c r="G19" s="9">
        <v>20</v>
      </c>
      <c r="H19" s="9">
        <f t="shared" si="0"/>
        <v>230</v>
      </c>
      <c r="I19" s="2" t="s">
        <v>145</v>
      </c>
    </row>
    <row r="20" spans="1:9" x14ac:dyDescent="0.25">
      <c r="A20" s="2" t="s">
        <v>19</v>
      </c>
      <c r="B20" s="2" t="s">
        <v>46</v>
      </c>
      <c r="C20" s="2" t="s">
        <v>73</v>
      </c>
      <c r="D20" s="2" t="s">
        <v>100</v>
      </c>
      <c r="E20" s="2" t="s">
        <v>121</v>
      </c>
      <c r="F20" s="3">
        <v>350</v>
      </c>
      <c r="G20" s="9">
        <v>20</v>
      </c>
      <c r="H20" s="9">
        <f t="shared" si="0"/>
        <v>330</v>
      </c>
      <c r="I20" s="2" t="s">
        <v>146</v>
      </c>
    </row>
    <row r="21" spans="1:9" x14ac:dyDescent="0.25">
      <c r="A21" s="2" t="s">
        <v>20</v>
      </c>
      <c r="B21" s="2" t="s">
        <v>47</v>
      </c>
      <c r="C21" s="2" t="s">
        <v>74</v>
      </c>
      <c r="D21" s="2" t="s">
        <v>101</v>
      </c>
      <c r="E21" s="2" t="s">
        <v>122</v>
      </c>
      <c r="F21" s="3">
        <v>295</v>
      </c>
      <c r="G21" s="9">
        <v>20</v>
      </c>
      <c r="H21" s="9">
        <f t="shared" si="0"/>
        <v>275</v>
      </c>
      <c r="I21" s="2" t="s">
        <v>147</v>
      </c>
    </row>
    <row r="22" spans="1:9" x14ac:dyDescent="0.25">
      <c r="A22" s="2" t="s">
        <v>21</v>
      </c>
      <c r="B22" s="2" t="s">
        <v>48</v>
      </c>
      <c r="C22" s="2" t="s">
        <v>75</v>
      </c>
      <c r="D22" s="2" t="s">
        <v>102</v>
      </c>
      <c r="E22" s="2" t="s">
        <v>123</v>
      </c>
      <c r="F22" s="3">
        <v>295</v>
      </c>
      <c r="G22" s="9">
        <v>20</v>
      </c>
      <c r="H22" s="9">
        <f t="shared" si="0"/>
        <v>275</v>
      </c>
      <c r="I22" s="2" t="s">
        <v>148</v>
      </c>
    </row>
    <row r="23" spans="1:9" x14ac:dyDescent="0.25">
      <c r="A23" s="2" t="s">
        <v>22</v>
      </c>
      <c r="B23" s="2" t="s">
        <v>49</v>
      </c>
      <c r="C23" s="2" t="s">
        <v>76</v>
      </c>
      <c r="D23" s="2" t="s">
        <v>103</v>
      </c>
      <c r="E23" s="2" t="s">
        <v>123</v>
      </c>
      <c r="F23" s="3">
        <v>295</v>
      </c>
      <c r="G23" s="9">
        <v>20</v>
      </c>
      <c r="H23" s="9">
        <f t="shared" si="0"/>
        <v>275</v>
      </c>
      <c r="I23" s="2" t="s">
        <v>149</v>
      </c>
    </row>
    <row r="24" spans="1:9" x14ac:dyDescent="0.25">
      <c r="A24" s="2" t="s">
        <v>23</v>
      </c>
      <c r="B24" s="2" t="s">
        <v>50</v>
      </c>
      <c r="C24" s="2" t="s">
        <v>77</v>
      </c>
      <c r="D24" s="2" t="s">
        <v>104</v>
      </c>
      <c r="E24" s="2" t="s">
        <v>123</v>
      </c>
      <c r="F24" s="3">
        <v>295</v>
      </c>
      <c r="G24" s="9">
        <v>20</v>
      </c>
      <c r="H24" s="9">
        <f t="shared" si="0"/>
        <v>275</v>
      </c>
      <c r="I24" s="2" t="s">
        <v>150</v>
      </c>
    </row>
    <row r="25" spans="1:9" x14ac:dyDescent="0.25">
      <c r="A25" s="2" t="s">
        <v>24</v>
      </c>
      <c r="B25" s="2" t="s">
        <v>51</v>
      </c>
      <c r="C25" s="2" t="s">
        <v>78</v>
      </c>
      <c r="D25" s="2" t="s">
        <v>105</v>
      </c>
      <c r="E25" s="2" t="s">
        <v>124</v>
      </c>
      <c r="F25" s="3">
        <v>295</v>
      </c>
      <c r="G25" s="9">
        <v>20</v>
      </c>
      <c r="H25" s="9">
        <f t="shared" si="0"/>
        <v>275</v>
      </c>
      <c r="I25" s="2" t="s">
        <v>151</v>
      </c>
    </row>
    <row r="26" spans="1:9" x14ac:dyDescent="0.25">
      <c r="A26" s="2" t="s">
        <v>25</v>
      </c>
      <c r="B26" s="2" t="s">
        <v>52</v>
      </c>
      <c r="C26" s="2" t="s">
        <v>79</v>
      </c>
      <c r="D26" s="2" t="s">
        <v>106</v>
      </c>
      <c r="E26" s="2" t="s">
        <v>125</v>
      </c>
      <c r="F26" s="3">
        <v>295</v>
      </c>
      <c r="G26" s="9">
        <v>20</v>
      </c>
      <c r="H26" s="9">
        <f t="shared" si="0"/>
        <v>275</v>
      </c>
      <c r="I26" s="2" t="s">
        <v>152</v>
      </c>
    </row>
    <row r="27" spans="1:9" x14ac:dyDescent="0.25">
      <c r="A27" s="2" t="s">
        <v>26</v>
      </c>
      <c r="B27" s="2" t="s">
        <v>53</v>
      </c>
      <c r="C27" s="2" t="s">
        <v>80</v>
      </c>
      <c r="D27" s="2" t="s">
        <v>107</v>
      </c>
      <c r="E27" s="2" t="s">
        <v>125</v>
      </c>
      <c r="F27" s="3">
        <v>295</v>
      </c>
      <c r="G27" s="9">
        <v>20</v>
      </c>
      <c r="H27" s="9">
        <f t="shared" si="0"/>
        <v>275</v>
      </c>
      <c r="I27" s="2" t="s">
        <v>153</v>
      </c>
    </row>
    <row r="28" spans="1:9" x14ac:dyDescent="0.25">
      <c r="A28" s="2" t="s">
        <v>27</v>
      </c>
      <c r="B28" s="2" t="s">
        <v>54</v>
      </c>
      <c r="C28" s="2" t="s">
        <v>81</v>
      </c>
      <c r="D28" s="2" t="s">
        <v>108</v>
      </c>
      <c r="E28" s="2" t="s">
        <v>126</v>
      </c>
      <c r="F28" s="3">
        <v>295</v>
      </c>
      <c r="G28" s="9">
        <v>20</v>
      </c>
      <c r="H28" s="9">
        <f t="shared" si="0"/>
        <v>275</v>
      </c>
      <c r="I28" s="2" t="s">
        <v>154</v>
      </c>
    </row>
    <row r="29" spans="1:9" x14ac:dyDescent="0.25">
      <c r="F29" s="4">
        <f>SUM(F3:F28)</f>
        <v>8000</v>
      </c>
      <c r="G29" s="4">
        <f>SUM(G3:G28)</f>
        <v>520</v>
      </c>
      <c r="H29" s="4">
        <f>SUM(H3:H28)</f>
        <v>7480</v>
      </c>
    </row>
  </sheetData>
  <mergeCells count="2">
    <mergeCell ref="I2:J2"/>
    <mergeCell ref="A1:J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A55D29-738A-4798-A3B3-C394F3A226E3}"/>
</file>

<file path=customXml/itemProps2.xml><?xml version="1.0" encoding="utf-8"?>
<ds:datastoreItem xmlns:ds="http://schemas.openxmlformats.org/officeDocument/2006/customXml" ds:itemID="{64015780-C4B0-43CA-815F-554732BB6524}"/>
</file>

<file path=customXml/itemProps3.xml><?xml version="1.0" encoding="utf-8"?>
<ds:datastoreItem xmlns:ds="http://schemas.openxmlformats.org/officeDocument/2006/customXml" ds:itemID="{C655A8D3-A6B7-4B58-A6ED-7FF6496FB9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2026-02-09T07:52:09Z</dcterms:created>
  <dcterms:modified xsi:type="dcterms:W3CDTF">2026-02-09T07:52:09Z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