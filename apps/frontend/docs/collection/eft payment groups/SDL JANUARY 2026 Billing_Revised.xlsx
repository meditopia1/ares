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SDL BENEFIT SERVICES/BILLING/"/>
    </mc:Choice>
  </mc:AlternateContent>
  <xr:revisionPtr revIDLastSave="0" documentId="8_{D35295A6-70C5-4BB6-8B09-2CE443DB8C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2" i="1" l="1"/>
  <c r="G72" i="1"/>
  <c r="F72" i="1"/>
  <c r="H8" i="1"/>
  <c r="H10" i="1"/>
  <c r="H11" i="1"/>
  <c r="H16" i="1"/>
  <c r="H18" i="1"/>
  <c r="H20" i="1"/>
  <c r="H25" i="1"/>
  <c r="H27" i="1"/>
  <c r="H28" i="1"/>
  <c r="H33" i="1"/>
  <c r="H36" i="1"/>
  <c r="H41" i="1"/>
  <c r="H43" i="1"/>
  <c r="H44" i="1"/>
  <c r="H49" i="1"/>
  <c r="H51" i="1"/>
  <c r="H52" i="1"/>
  <c r="H57" i="1"/>
  <c r="H59" i="1"/>
  <c r="H60" i="1"/>
  <c r="H65" i="1"/>
  <c r="H67" i="1"/>
  <c r="H68" i="1"/>
  <c r="G3" i="1"/>
  <c r="H3" i="1" s="1"/>
  <c r="G4" i="1"/>
  <c r="H4" i="1" s="1"/>
  <c r="G5" i="1"/>
  <c r="H5" i="1" s="1"/>
  <c r="G6" i="1"/>
  <c r="H6" i="1" s="1"/>
  <c r="G7" i="1"/>
  <c r="H7" i="1" s="1"/>
  <c r="G8" i="1"/>
  <c r="G9" i="1"/>
  <c r="H9" i="1" s="1"/>
  <c r="G10" i="1"/>
  <c r="G11" i="1"/>
  <c r="G12" i="1"/>
  <c r="H12" i="1" s="1"/>
  <c r="G13" i="1"/>
  <c r="H13" i="1" s="1"/>
  <c r="G14" i="1"/>
  <c r="H14" i="1" s="1"/>
  <c r="G15" i="1"/>
  <c r="H15" i="1" s="1"/>
  <c r="G16" i="1"/>
  <c r="G17" i="1"/>
  <c r="H17" i="1" s="1"/>
  <c r="G18" i="1"/>
  <c r="G19" i="1"/>
  <c r="G20" i="1"/>
  <c r="G21" i="1"/>
  <c r="H21" i="1" s="1"/>
  <c r="G22" i="1"/>
  <c r="H22" i="1" s="1"/>
  <c r="G23" i="1"/>
  <c r="H23" i="1" s="1"/>
  <c r="G24" i="1"/>
  <c r="H24" i="1" s="1"/>
  <c r="G25" i="1"/>
  <c r="G26" i="1"/>
  <c r="H26" i="1" s="1"/>
  <c r="G27" i="1"/>
  <c r="G28" i="1"/>
  <c r="G29" i="1"/>
  <c r="H29" i="1" s="1"/>
  <c r="G30" i="1"/>
  <c r="H30" i="1" s="1"/>
  <c r="G31" i="1"/>
  <c r="H31" i="1" s="1"/>
  <c r="G32" i="1"/>
  <c r="H32" i="1" s="1"/>
  <c r="G33" i="1"/>
  <c r="G34" i="1"/>
  <c r="H34" i="1" s="1"/>
  <c r="G35" i="1"/>
  <c r="H35" i="1" s="1"/>
  <c r="G36" i="1"/>
  <c r="G37" i="1"/>
  <c r="H37" i="1" s="1"/>
  <c r="G38" i="1"/>
  <c r="H38" i="1" s="1"/>
  <c r="G39" i="1"/>
  <c r="H39" i="1" s="1"/>
  <c r="G40" i="1"/>
  <c r="H40" i="1" s="1"/>
  <c r="G41" i="1"/>
  <c r="G42" i="1"/>
  <c r="H42" i="1" s="1"/>
  <c r="G43" i="1"/>
  <c r="G44" i="1"/>
  <c r="G45" i="1"/>
  <c r="H45" i="1" s="1"/>
  <c r="G46" i="1"/>
  <c r="H46" i="1" s="1"/>
  <c r="G47" i="1"/>
  <c r="H47" i="1" s="1"/>
  <c r="G48" i="1"/>
  <c r="H48" i="1" s="1"/>
  <c r="G49" i="1"/>
  <c r="G50" i="1"/>
  <c r="H50" i="1" s="1"/>
  <c r="G51" i="1"/>
  <c r="G52" i="1"/>
  <c r="G53" i="1"/>
  <c r="H53" i="1" s="1"/>
  <c r="G54" i="1"/>
  <c r="H54" i="1" s="1"/>
  <c r="G55" i="1"/>
  <c r="H55" i="1" s="1"/>
  <c r="G56" i="1"/>
  <c r="H56" i="1" s="1"/>
  <c r="G57" i="1"/>
  <c r="G58" i="1"/>
  <c r="H58" i="1" s="1"/>
  <c r="G59" i="1"/>
  <c r="G60" i="1"/>
  <c r="G61" i="1"/>
  <c r="H61" i="1" s="1"/>
  <c r="G62" i="1"/>
  <c r="H62" i="1" s="1"/>
  <c r="G63" i="1"/>
  <c r="H63" i="1" s="1"/>
  <c r="G64" i="1"/>
  <c r="H64" i="1" s="1"/>
  <c r="G65" i="1"/>
  <c r="G66" i="1"/>
  <c r="H66" i="1" s="1"/>
  <c r="G67" i="1"/>
  <c r="G68" i="1"/>
  <c r="G69" i="1"/>
  <c r="H69" i="1" s="1"/>
  <c r="G70" i="1"/>
  <c r="H70" i="1" s="1"/>
  <c r="G71" i="1"/>
  <c r="H71" i="1" s="1"/>
  <c r="H19" i="1" l="1"/>
</calcChain>
</file>

<file path=xl/sharedStrings.xml><?xml version="1.0" encoding="utf-8"?>
<sst xmlns="http://schemas.openxmlformats.org/spreadsheetml/2006/main" count="422" uniqueCount="393">
  <si>
    <t>Day1 Health (Pty) Ltd  VAT no - 4070190766
PO Box 782622, Sandton City, 2146
Tel: 0861 113 513  Fax: 086 690 4818
Email: admin@day1.co.za  Web: www.day1.co.za
SDL Staff Jan 26</t>
  </si>
  <si>
    <t>Member Number</t>
  </si>
  <si>
    <t>DAY17008665</t>
  </si>
  <si>
    <t>DAY17008654</t>
  </si>
  <si>
    <t>DAY17008657</t>
  </si>
  <si>
    <t>DAY17009360</t>
  </si>
  <si>
    <t>DAY17009319</t>
  </si>
  <si>
    <t>DAY17009643</t>
  </si>
  <si>
    <t>DAY17010223</t>
  </si>
  <si>
    <t>DAY17010392</t>
  </si>
  <si>
    <t>DAY17012752</t>
  </si>
  <si>
    <t>DAY17009825</t>
  </si>
  <si>
    <t>DAY17013119</t>
  </si>
  <si>
    <t>DAY17013633</t>
  </si>
  <si>
    <t>DAY17013693</t>
  </si>
  <si>
    <t>DAY17014156</t>
  </si>
  <si>
    <t>DAY17017096</t>
  </si>
  <si>
    <t>DAY17017121</t>
  </si>
  <si>
    <t>DAY17015678</t>
  </si>
  <si>
    <t>DAY17036312</t>
  </si>
  <si>
    <t>DAY17019296</t>
  </si>
  <si>
    <t>DAY17020215</t>
  </si>
  <si>
    <t>DAY17029597</t>
  </si>
  <si>
    <t>DAY17021112</t>
  </si>
  <si>
    <t>DAY17021583</t>
  </si>
  <si>
    <t>DAY17023808</t>
  </si>
  <si>
    <t>DAY17024530</t>
  </si>
  <si>
    <t>DAY17024534</t>
  </si>
  <si>
    <t>DAY17025225</t>
  </si>
  <si>
    <t>DAY17025227</t>
  </si>
  <si>
    <t>DAY17026162</t>
  </si>
  <si>
    <t>DAY17026368</t>
  </si>
  <si>
    <t>DAY17027364</t>
  </si>
  <si>
    <t>DAY17027638</t>
  </si>
  <si>
    <t>DAY17027640</t>
  </si>
  <si>
    <t>DAY17027953</t>
  </si>
  <si>
    <t>DAY17030161</t>
  </si>
  <si>
    <t>DAY17018542</t>
  </si>
  <si>
    <t>DAY17031295</t>
  </si>
  <si>
    <t>DAY17031675</t>
  </si>
  <si>
    <t>DAY17032676</t>
  </si>
  <si>
    <t>DAY17033189</t>
  </si>
  <si>
    <t>DAY17034212</t>
  </si>
  <si>
    <t>DAY17033261</t>
  </si>
  <si>
    <t>DAY17035134</t>
  </si>
  <si>
    <t>DAY17036150</t>
  </si>
  <si>
    <t>DAY17037016</t>
  </si>
  <si>
    <t>DAY17037466</t>
  </si>
  <si>
    <t>DAY17036164</t>
  </si>
  <si>
    <t>DAY17037900</t>
  </si>
  <si>
    <t>DAY17038403</t>
  </si>
  <si>
    <t>DAY17017275</t>
  </si>
  <si>
    <t>DAY17039124</t>
  </si>
  <si>
    <t>DAY17040929</t>
  </si>
  <si>
    <t>DAY17041050</t>
  </si>
  <si>
    <t>DAY17042265</t>
  </si>
  <si>
    <t>DAY17042269</t>
  </si>
  <si>
    <t>DAY17043545</t>
  </si>
  <si>
    <t>DAY17009121</t>
  </si>
  <si>
    <t>DAY17009326</t>
  </si>
  <si>
    <t>DAY17049466</t>
  </si>
  <si>
    <t>DAY17049488</t>
  </si>
  <si>
    <t>DAY17038792</t>
  </si>
  <si>
    <t>DAY17011207</t>
  </si>
  <si>
    <t>DAY17014105</t>
  </si>
  <si>
    <t>DAY17030462</t>
  </si>
  <si>
    <t>DAY17017084</t>
  </si>
  <si>
    <t>DAY17053031</t>
  </si>
  <si>
    <t>DAY17055100</t>
  </si>
  <si>
    <t>DAY17055402</t>
  </si>
  <si>
    <t>DAY17015661</t>
  </si>
  <si>
    <t>Name</t>
  </si>
  <si>
    <t>MARTHA</t>
  </si>
  <si>
    <t>LUCAS</t>
  </si>
  <si>
    <t>JAKOBUS</t>
  </si>
  <si>
    <t xml:space="preserve">HENDRIK </t>
  </si>
  <si>
    <t xml:space="preserve">YVONNE </t>
  </si>
  <si>
    <t xml:space="preserve">YOLANDA </t>
  </si>
  <si>
    <t>HAROLD</t>
  </si>
  <si>
    <t>DEON</t>
  </si>
  <si>
    <t>ROSALENE</t>
  </si>
  <si>
    <t>NICOLETTE</t>
  </si>
  <si>
    <t>RICHARD</t>
  </si>
  <si>
    <t>TIFFANY</t>
  </si>
  <si>
    <t>LYNETTE</t>
  </si>
  <si>
    <t>SANDRA</t>
  </si>
  <si>
    <t>DANIEL</t>
  </si>
  <si>
    <t>CHRISTOFFEL</t>
  </si>
  <si>
    <t>ESTELLE</t>
  </si>
  <si>
    <t>MICHELLE</t>
  </si>
  <si>
    <t>BESTINAY</t>
  </si>
  <si>
    <t>VANESSA</t>
  </si>
  <si>
    <t>LETTIE</t>
  </si>
  <si>
    <t xml:space="preserve">NICOLAAS </t>
  </si>
  <si>
    <t>BENITA</t>
  </si>
  <si>
    <t>LEE-ANN</t>
  </si>
  <si>
    <t xml:space="preserve">DENN-MARE </t>
  </si>
  <si>
    <t>MARIANNA</t>
  </si>
  <si>
    <t>CALLIE-SUE</t>
  </si>
  <si>
    <t>CHARMAINE</t>
  </si>
  <si>
    <t xml:space="preserve">TYHILEKA </t>
  </si>
  <si>
    <t xml:space="preserve">SHARON </t>
  </si>
  <si>
    <t>JESICA</t>
  </si>
  <si>
    <t>AIDAN</t>
  </si>
  <si>
    <t>GODFREY</t>
  </si>
  <si>
    <t>BABALWA</t>
  </si>
  <si>
    <t>ANTHONIE</t>
  </si>
  <si>
    <t>ELIAS</t>
  </si>
  <si>
    <t>JOHN</t>
  </si>
  <si>
    <t>NOLA</t>
  </si>
  <si>
    <t>COENRAAD</t>
  </si>
  <si>
    <t>LIZETTE</t>
  </si>
  <si>
    <t>CYNTHIA</t>
  </si>
  <si>
    <t>DENISE</t>
  </si>
  <si>
    <t>JOHANNES</t>
  </si>
  <si>
    <t>ZONIKA</t>
  </si>
  <si>
    <t xml:space="preserve">DEVON </t>
  </si>
  <si>
    <t>EUGENE</t>
  </si>
  <si>
    <t>ELIZABETH</t>
  </si>
  <si>
    <t>DANE</t>
  </si>
  <si>
    <t xml:space="preserve">LOUIS </t>
  </si>
  <si>
    <t>GARETH</t>
  </si>
  <si>
    <t>NOLOYISO</t>
  </si>
  <si>
    <t>JUAN-PIERRE</t>
  </si>
  <si>
    <t>NONTHUTHUKO</t>
  </si>
  <si>
    <t>TRISTAN</t>
  </si>
  <si>
    <t>MAGDA</t>
  </si>
  <si>
    <t>FRIKKIE</t>
  </si>
  <si>
    <t>ANDRIES</t>
  </si>
  <si>
    <t xml:space="preserve">DAVID </t>
  </si>
  <si>
    <t>BRAND</t>
  </si>
  <si>
    <t>VICTOR</t>
  </si>
  <si>
    <t>ESA</t>
  </si>
  <si>
    <t>STACEY</t>
  </si>
  <si>
    <t>JOHANNA</t>
  </si>
  <si>
    <t>PASHENDRI</t>
  </si>
  <si>
    <t>JENNIFER</t>
  </si>
  <si>
    <t>MARIETHA</t>
  </si>
  <si>
    <t>Surname</t>
  </si>
  <si>
    <t>GELDENHUYS</t>
  </si>
  <si>
    <t>BOTHA</t>
  </si>
  <si>
    <t xml:space="preserve">HAYES </t>
  </si>
  <si>
    <t xml:space="preserve">SWANEPOEL </t>
  </si>
  <si>
    <t>SLABBERT</t>
  </si>
  <si>
    <t>KRETZMANN</t>
  </si>
  <si>
    <t>ROBERTS</t>
  </si>
  <si>
    <t>FOURIE</t>
  </si>
  <si>
    <t>NAIDOO</t>
  </si>
  <si>
    <t>PRINCE</t>
  </si>
  <si>
    <t>BENTLEY</t>
  </si>
  <si>
    <t>BOTHMA</t>
  </si>
  <si>
    <t>LANDMAN</t>
  </si>
  <si>
    <t>WOLFAARDT</t>
  </si>
  <si>
    <t>DE BRUYN</t>
  </si>
  <si>
    <t>PEARCE</t>
  </si>
  <si>
    <t>HEARNE</t>
  </si>
  <si>
    <t>VISSER</t>
  </si>
  <si>
    <t>GERICKE</t>
  </si>
  <si>
    <t>OELOFSEN</t>
  </si>
  <si>
    <t>DE VOS</t>
  </si>
  <si>
    <t>ESTERHUIZEN</t>
  </si>
  <si>
    <t>BURKINSHAW</t>
  </si>
  <si>
    <t>CLAASSEN</t>
  </si>
  <si>
    <t>NANGU</t>
  </si>
  <si>
    <t>BIPPERT</t>
  </si>
  <si>
    <t>BERRY</t>
  </si>
  <si>
    <t>BEZUIDENHOUT</t>
  </si>
  <si>
    <t>MBANDAZAYO</t>
  </si>
  <si>
    <t>DU TOIT</t>
  </si>
  <si>
    <t>KALANDRANIS</t>
  </si>
  <si>
    <t>DEETLEFS</t>
  </si>
  <si>
    <t>TERBLANCHE</t>
  </si>
  <si>
    <t>STRYDOM</t>
  </si>
  <si>
    <t>POTBERG</t>
  </si>
  <si>
    <t>FAURE</t>
  </si>
  <si>
    <t>DU PLESSIS</t>
  </si>
  <si>
    <t>OTTO</t>
  </si>
  <si>
    <t>VOSLOO</t>
  </si>
  <si>
    <t>KLEINHANS</t>
  </si>
  <si>
    <t>THYSSE</t>
  </si>
  <si>
    <t>MACKENZIE</t>
  </si>
  <si>
    <t>PRETORIUS</t>
  </si>
  <si>
    <t>GILLMER</t>
  </si>
  <si>
    <t>WESSELS</t>
  </si>
  <si>
    <t>BONGA</t>
  </si>
  <si>
    <t>DANIELL</t>
  </si>
  <si>
    <t>MVAZANA</t>
  </si>
  <si>
    <t>WEYERS</t>
  </si>
  <si>
    <t>VAN ECK</t>
  </si>
  <si>
    <t xml:space="preserve">BOSHOF </t>
  </si>
  <si>
    <t>KNOETZE</t>
  </si>
  <si>
    <t>MERRINGTON</t>
  </si>
  <si>
    <t>ERASMUS</t>
  </si>
  <si>
    <t>ABRAHAMS</t>
  </si>
  <si>
    <t>ROSOCHACKI</t>
  </si>
  <si>
    <t>DE KLERK</t>
  </si>
  <si>
    <t>KERSPAY</t>
  </si>
  <si>
    <t>VAALTYN</t>
  </si>
  <si>
    <t>RUDMAN</t>
  </si>
  <si>
    <t>ID Number</t>
  </si>
  <si>
    <t>5505300114082</t>
  </si>
  <si>
    <t>5801175090089</t>
  </si>
  <si>
    <t>6204265033086</t>
  </si>
  <si>
    <t>6306255082088</t>
  </si>
  <si>
    <t>6203040163085</t>
  </si>
  <si>
    <t>7212070136084</t>
  </si>
  <si>
    <t>6301235009087</t>
  </si>
  <si>
    <t>8009095253087</t>
  </si>
  <si>
    <t>5308020016087</t>
  </si>
  <si>
    <t>7309250135082</t>
  </si>
  <si>
    <t>6702165032082</t>
  </si>
  <si>
    <t>9211250158080</t>
  </si>
  <si>
    <t>6211150157086</t>
  </si>
  <si>
    <t>6104210116087</t>
  </si>
  <si>
    <t>8301235069089</t>
  </si>
  <si>
    <t>8706115016085</t>
  </si>
  <si>
    <t>7609280124083</t>
  </si>
  <si>
    <t>8303050035088</t>
  </si>
  <si>
    <t>7412170119085</t>
  </si>
  <si>
    <t>6206260029084</t>
  </si>
  <si>
    <t>6101150104081</t>
  </si>
  <si>
    <t>8908135062087</t>
  </si>
  <si>
    <t>7805020004086</t>
  </si>
  <si>
    <t>9409150144081</t>
  </si>
  <si>
    <t>9007230100089</t>
  </si>
  <si>
    <t>6411210020080</t>
  </si>
  <si>
    <t>9102020009085</t>
  </si>
  <si>
    <t>6311210037086</t>
  </si>
  <si>
    <t>6104080740081</t>
  </si>
  <si>
    <t>6107160070089</t>
  </si>
  <si>
    <t>9412120141088</t>
  </si>
  <si>
    <t>8109245090080</t>
  </si>
  <si>
    <t>5403075123084</t>
  </si>
  <si>
    <t>7705110549083</t>
  </si>
  <si>
    <t>5403145121084</t>
  </si>
  <si>
    <t>6507115269183</t>
  </si>
  <si>
    <t>5504145184087</t>
  </si>
  <si>
    <t>5609260169084</t>
  </si>
  <si>
    <t>9209075050086</t>
  </si>
  <si>
    <t>7704040127086</t>
  </si>
  <si>
    <t>4107190037084</t>
  </si>
  <si>
    <t>8704130027088</t>
  </si>
  <si>
    <t>7308145071080</t>
  </si>
  <si>
    <t>9110230014084</t>
  </si>
  <si>
    <t>9908035153084</t>
  </si>
  <si>
    <t>7811255058086</t>
  </si>
  <si>
    <t>5907240063082</t>
  </si>
  <si>
    <t>9907285033087</t>
  </si>
  <si>
    <t>9809225092084</t>
  </si>
  <si>
    <t>5911245048080</t>
  </si>
  <si>
    <t>8106120077083</t>
  </si>
  <si>
    <t>8608230200083</t>
  </si>
  <si>
    <t>9507085060080</t>
  </si>
  <si>
    <t>7911070464087</t>
  </si>
  <si>
    <t>0009155058085</t>
  </si>
  <si>
    <t>7510230129083</t>
  </si>
  <si>
    <t>6208185038083</t>
  </si>
  <si>
    <t>7601225021086</t>
  </si>
  <si>
    <t>8212145289081</t>
  </si>
  <si>
    <t>8401185153089</t>
  </si>
  <si>
    <t>5802185008087</t>
  </si>
  <si>
    <t>6005155165080</t>
  </si>
  <si>
    <t>6702190001086</t>
  </si>
  <si>
    <t>7001200011089</t>
  </si>
  <si>
    <t>6407020054087</t>
  </si>
  <si>
    <t>8211190143086</t>
  </si>
  <si>
    <t>5612070122087</t>
  </si>
  <si>
    <t>8902051209087</t>
  </si>
  <si>
    <t>6302195014083</t>
  </si>
  <si>
    <t>Commence Date</t>
  </si>
  <si>
    <t>2014-12-01</t>
  </si>
  <si>
    <t>2015-01-01</t>
  </si>
  <si>
    <t>2015-03-01</t>
  </si>
  <si>
    <t>2015-03-19</t>
  </si>
  <si>
    <t>2015-04-01</t>
  </si>
  <si>
    <t>2015-05-01</t>
  </si>
  <si>
    <t>2015-08-01</t>
  </si>
  <si>
    <t>2015-09-01</t>
  </si>
  <si>
    <t>2015-10-01</t>
  </si>
  <si>
    <t>2015-11-01</t>
  </si>
  <si>
    <t>2016-03-01</t>
  </si>
  <si>
    <t>2016-08-01</t>
  </si>
  <si>
    <t>2016-10-01</t>
  </si>
  <si>
    <t>2016-11-01</t>
  </si>
  <si>
    <t>2016-12-01</t>
  </si>
  <si>
    <t>2017-01-01</t>
  </si>
  <si>
    <t>2017-03-01</t>
  </si>
  <si>
    <t>2017-04-01</t>
  </si>
  <si>
    <t>2017-06-01</t>
  </si>
  <si>
    <t>2017-08-01</t>
  </si>
  <si>
    <t>2017-09-01</t>
  </si>
  <si>
    <t>2017-12-01</t>
  </si>
  <si>
    <t>2018-01-01</t>
  </si>
  <si>
    <t>2018-06-01</t>
  </si>
  <si>
    <t>2018-09-01</t>
  </si>
  <si>
    <t>2018-11-01</t>
  </si>
  <si>
    <t>2019-03-01</t>
  </si>
  <si>
    <t>2019-04-01</t>
  </si>
  <si>
    <t>2019-08-01</t>
  </si>
  <si>
    <t>2019-09-01</t>
  </si>
  <si>
    <t>2019-11-01</t>
  </si>
  <si>
    <t>2020-03-01</t>
  </si>
  <si>
    <t>2020-07-01</t>
  </si>
  <si>
    <t>2020-08-01</t>
  </si>
  <si>
    <t>2020-09-01</t>
  </si>
  <si>
    <t>2020-10-01</t>
  </si>
  <si>
    <t>2021-01-01</t>
  </si>
  <si>
    <t>2021-06-01</t>
  </si>
  <si>
    <t>2021-07-01</t>
  </si>
  <si>
    <t>2021-09-01</t>
  </si>
  <si>
    <t>2021-10-01</t>
  </si>
  <si>
    <t>2022-05-01</t>
  </si>
  <si>
    <t>2023-09-01</t>
  </si>
  <si>
    <t>2023-12-01</t>
  </si>
  <si>
    <t>2024-02-01</t>
  </si>
  <si>
    <t>2024-06-01</t>
  </si>
  <si>
    <t>2024-07-01</t>
  </si>
  <si>
    <t>2024-10-01</t>
  </si>
  <si>
    <t>2025-04-01</t>
  </si>
  <si>
    <t>2025-05-01</t>
  </si>
  <si>
    <t>2025-08-01</t>
  </si>
  <si>
    <t>Premium</t>
  </si>
  <si>
    <t xml:space="preserve">Employee Nr </t>
  </si>
  <si>
    <t>10-000007</t>
  </si>
  <si>
    <t>10-000002</t>
  </si>
  <si>
    <t>10-000004</t>
  </si>
  <si>
    <t>10-001476</t>
  </si>
  <si>
    <t>10-000016</t>
  </si>
  <si>
    <t>10-002128</t>
  </si>
  <si>
    <t>10-001290</t>
  </si>
  <si>
    <t>10-002428</t>
  </si>
  <si>
    <t>10-001284</t>
  </si>
  <si>
    <t>10-000762</t>
  </si>
  <si>
    <t>10-002861</t>
  </si>
  <si>
    <t>10-002928</t>
  </si>
  <si>
    <t>10-002984</t>
  </si>
  <si>
    <t>10-003055</t>
  </si>
  <si>
    <t>10-003119</t>
  </si>
  <si>
    <t>10-003107</t>
  </si>
  <si>
    <t>10-010630</t>
  </si>
  <si>
    <t>10-003267</t>
  </si>
  <si>
    <t>10-003329</t>
  </si>
  <si>
    <t>10-003803</t>
  </si>
  <si>
    <t>10-003531</t>
  </si>
  <si>
    <t xml:space="preserve">10-000931 </t>
  </si>
  <si>
    <t>10-003545</t>
  </si>
  <si>
    <t>10-003540</t>
  </si>
  <si>
    <t>10-003547</t>
  </si>
  <si>
    <t>10-004150</t>
  </si>
  <si>
    <t>10-004236</t>
  </si>
  <si>
    <t>10-004180</t>
  </si>
  <si>
    <t>10-003458</t>
  </si>
  <si>
    <t>10-004338</t>
  </si>
  <si>
    <t>10-004331</t>
  </si>
  <si>
    <t>10-004354</t>
  </si>
  <si>
    <t>10-004430</t>
  </si>
  <si>
    <t>10-004556</t>
  </si>
  <si>
    <t>10-000930</t>
  </si>
  <si>
    <t>10-004502</t>
  </si>
  <si>
    <t>10-004447</t>
  </si>
  <si>
    <t>10-004450</t>
  </si>
  <si>
    <t>10-004909</t>
  </si>
  <si>
    <t>10-004445</t>
  </si>
  <si>
    <t>10-003405</t>
  </si>
  <si>
    <t>10-000365</t>
  </si>
  <si>
    <t>10-010529</t>
  </si>
  <si>
    <t>10-010632</t>
  </si>
  <si>
    <t>10-010532</t>
  </si>
  <si>
    <t>10-010514</t>
  </si>
  <si>
    <t>10-010633</t>
  </si>
  <si>
    <t>10-010635</t>
  </si>
  <si>
    <t>10-003072</t>
  </si>
  <si>
    <t>10-010644</t>
  </si>
  <si>
    <t>10-010728</t>
  </si>
  <si>
    <t>10-010546</t>
  </si>
  <si>
    <t>10-011126</t>
  </si>
  <si>
    <t>10-010729</t>
  </si>
  <si>
    <t>10-010552</t>
  </si>
  <si>
    <t>10-001127</t>
  </si>
  <si>
    <t>10-000752</t>
  </si>
  <si>
    <t>10-010364</t>
  </si>
  <si>
    <t>10-011006</t>
  </si>
  <si>
    <t>10-003467</t>
  </si>
  <si>
    <t>10-002055</t>
  </si>
  <si>
    <t>10-001342</t>
  </si>
  <si>
    <t>10-004619</t>
  </si>
  <si>
    <t>10-003068</t>
  </si>
  <si>
    <t>10-010367</t>
  </si>
  <si>
    <t>10-011127</t>
  </si>
  <si>
    <t>10-011128</t>
  </si>
  <si>
    <t>10-003051</t>
  </si>
  <si>
    <t>Discount</t>
  </si>
  <si>
    <t xml:space="preserve">Net premium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</si>
</sst>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2" fillId="3" borderId="5" xfId="0" applyFont="1" applyFill="1" applyBorder="1" applyAlignment="1">
      <alignment horizontal="left" vertical="top" wrapText="1" shrinkToFit="1"/>
    </xf>
    <xf numFmtId="2" fontId="4" fillId="5" borderId="5" xfId="0" applyNumberFormat="1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1" fillId="2" borderId="5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showGridLines="0" tabSelected="1" workbookViewId="0">
      <selection activeCell="C52" sqref="C52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8" width="12.3984375" customWidth="1"/>
    <col min="9" max="9" width="12.796875" customWidth="1"/>
    <col min="10" max="10" width="10.296875" customWidth="1"/>
  </cols>
  <sheetData>
    <row r="1" spans="1:10" ht="67.8" customHeight="1" x14ac:dyDescent="0.25">
      <c r="A1" s="8" t="s">
        <v>0</v>
      </c>
      <c r="B1" s="8"/>
      <c r="C1" s="8"/>
      <c r="D1" s="8"/>
      <c r="E1" s="8"/>
      <c r="F1" s="8"/>
      <c r="G1" s="9"/>
      <c r="H1" s="9"/>
      <c r="I1" s="8"/>
      <c r="J1" s="8"/>
    </row>
    <row r="2" spans="1:10" x14ac:dyDescent="0.25">
      <c r="A2" s="1" t="s">
        <v>1</v>
      </c>
      <c r="B2" s="1" t="s">
        <v>71</v>
      </c>
      <c r="C2" s="1" t="s">
        <v>138</v>
      </c>
      <c r="D2" s="1" t="s">
        <v>199</v>
      </c>
      <c r="E2" s="1" t="s">
        <v>269</v>
      </c>
      <c r="F2" s="1" t="s">
        <v>321</v>
      </c>
      <c r="G2" s="5" t="s">
        <v>391</v>
      </c>
      <c r="H2" s="5" t="s">
        <v>392</v>
      </c>
      <c r="I2" s="7" t="s">
        <v>322</v>
      </c>
      <c r="J2" s="7"/>
    </row>
    <row r="3" spans="1:10" x14ac:dyDescent="0.25">
      <c r="A3" s="2" t="s">
        <v>2</v>
      </c>
      <c r="B3" s="2" t="s">
        <v>72</v>
      </c>
      <c r="C3" s="2" t="s">
        <v>139</v>
      </c>
      <c r="D3" s="2" t="s">
        <v>200</v>
      </c>
      <c r="E3" s="2" t="s">
        <v>270</v>
      </c>
      <c r="F3" s="3">
        <v>935</v>
      </c>
      <c r="G3" s="6">
        <f>-F3*0.16</f>
        <v>-149.6</v>
      </c>
      <c r="H3" s="6">
        <f>F3+G3</f>
        <v>785.4</v>
      </c>
      <c r="I3" s="2" t="s">
        <v>323</v>
      </c>
    </row>
    <row r="4" spans="1:10" x14ac:dyDescent="0.25">
      <c r="A4" s="2" t="s">
        <v>3</v>
      </c>
      <c r="B4" s="2" t="s">
        <v>73</v>
      </c>
      <c r="C4" s="2" t="s">
        <v>139</v>
      </c>
      <c r="D4" s="2" t="s">
        <v>201</v>
      </c>
      <c r="E4" s="2" t="s">
        <v>271</v>
      </c>
      <c r="F4" s="3">
        <v>674</v>
      </c>
      <c r="G4" s="6">
        <f t="shared" ref="G4:G66" si="0">-F4*0.16</f>
        <v>-107.84</v>
      </c>
      <c r="H4" s="6">
        <f t="shared" ref="H4:H66" si="1">F4+G4</f>
        <v>566.16</v>
      </c>
      <c r="I4" s="2" t="s">
        <v>324</v>
      </c>
    </row>
    <row r="5" spans="1:10" x14ac:dyDescent="0.25">
      <c r="A5" s="2" t="s">
        <v>4</v>
      </c>
      <c r="B5" s="2" t="s">
        <v>74</v>
      </c>
      <c r="C5" s="2" t="s">
        <v>139</v>
      </c>
      <c r="D5" s="2" t="s">
        <v>202</v>
      </c>
      <c r="E5" s="2" t="s">
        <v>271</v>
      </c>
      <c r="F5" s="3">
        <v>385</v>
      </c>
      <c r="G5" s="6">
        <f t="shared" si="0"/>
        <v>-61.6</v>
      </c>
      <c r="H5" s="6">
        <f t="shared" si="1"/>
        <v>323.39999999999998</v>
      </c>
      <c r="I5" s="2" t="s">
        <v>325</v>
      </c>
    </row>
    <row r="6" spans="1:10" x14ac:dyDescent="0.25">
      <c r="A6" s="2" t="s">
        <v>5</v>
      </c>
      <c r="B6" s="2" t="s">
        <v>75</v>
      </c>
      <c r="C6" s="2" t="s">
        <v>140</v>
      </c>
      <c r="D6" s="2" t="s">
        <v>203</v>
      </c>
      <c r="E6" s="2" t="s">
        <v>272</v>
      </c>
      <c r="F6" s="3">
        <v>385</v>
      </c>
      <c r="G6" s="6">
        <f t="shared" si="0"/>
        <v>-61.6</v>
      </c>
      <c r="H6" s="6">
        <f t="shared" si="1"/>
        <v>323.39999999999998</v>
      </c>
      <c r="I6" s="2" t="s">
        <v>326</v>
      </c>
    </row>
    <row r="7" spans="1:10" x14ac:dyDescent="0.25">
      <c r="A7" s="2" t="s">
        <v>6</v>
      </c>
      <c r="B7" s="2" t="s">
        <v>76</v>
      </c>
      <c r="C7" s="2" t="s">
        <v>141</v>
      </c>
      <c r="D7" s="2" t="s">
        <v>204</v>
      </c>
      <c r="E7" s="2" t="s">
        <v>272</v>
      </c>
      <c r="F7" s="3">
        <v>1598</v>
      </c>
      <c r="G7" s="6">
        <f t="shared" si="0"/>
        <v>-255.68</v>
      </c>
      <c r="H7" s="6">
        <f t="shared" si="1"/>
        <v>1342.32</v>
      </c>
      <c r="I7" s="2" t="s">
        <v>327</v>
      </c>
    </row>
    <row r="8" spans="1:10" x14ac:dyDescent="0.25">
      <c r="A8" s="2" t="s">
        <v>7</v>
      </c>
      <c r="B8" s="2" t="s">
        <v>77</v>
      </c>
      <c r="C8" s="2" t="s">
        <v>142</v>
      </c>
      <c r="D8" s="2" t="s">
        <v>205</v>
      </c>
      <c r="E8" s="2" t="s">
        <v>273</v>
      </c>
      <c r="F8" s="3">
        <v>1379</v>
      </c>
      <c r="G8" s="6">
        <f t="shared" si="0"/>
        <v>-220.64000000000001</v>
      </c>
      <c r="H8" s="6">
        <f t="shared" si="1"/>
        <v>1158.3599999999999</v>
      </c>
      <c r="I8" s="2"/>
    </row>
    <row r="9" spans="1:10" x14ac:dyDescent="0.25">
      <c r="A9" s="2" t="s">
        <v>8</v>
      </c>
      <c r="B9" s="2" t="s">
        <v>78</v>
      </c>
      <c r="C9" s="2" t="s">
        <v>143</v>
      </c>
      <c r="D9" s="2" t="s">
        <v>206</v>
      </c>
      <c r="E9" s="2" t="s">
        <v>274</v>
      </c>
      <c r="F9" s="3">
        <v>385</v>
      </c>
      <c r="G9" s="6">
        <f t="shared" si="0"/>
        <v>-61.6</v>
      </c>
      <c r="H9" s="6">
        <f t="shared" si="1"/>
        <v>323.39999999999998</v>
      </c>
      <c r="I9" s="2" t="s">
        <v>328</v>
      </c>
    </row>
    <row r="10" spans="1:10" x14ac:dyDescent="0.25">
      <c r="A10" s="2" t="s">
        <v>9</v>
      </c>
      <c r="B10" s="2" t="s">
        <v>79</v>
      </c>
      <c r="C10" s="2" t="s">
        <v>144</v>
      </c>
      <c r="D10" s="2" t="s">
        <v>207</v>
      </c>
      <c r="E10" s="2" t="s">
        <v>275</v>
      </c>
      <c r="F10" s="3">
        <v>2254</v>
      </c>
      <c r="G10" s="6">
        <f t="shared" si="0"/>
        <v>-360.64</v>
      </c>
      <c r="H10" s="6">
        <f t="shared" si="1"/>
        <v>1893.3600000000001</v>
      </c>
      <c r="I10" s="2" t="s">
        <v>329</v>
      </c>
    </row>
    <row r="11" spans="1:10" x14ac:dyDescent="0.25">
      <c r="A11" s="2" t="s">
        <v>10</v>
      </c>
      <c r="B11" s="2" t="s">
        <v>80</v>
      </c>
      <c r="C11" s="2" t="s">
        <v>145</v>
      </c>
      <c r="D11" s="2" t="s">
        <v>208</v>
      </c>
      <c r="E11" s="2" t="s">
        <v>276</v>
      </c>
      <c r="F11" s="3">
        <v>380</v>
      </c>
      <c r="G11" s="6">
        <f t="shared" si="0"/>
        <v>-60.800000000000004</v>
      </c>
      <c r="H11" s="6">
        <f t="shared" si="1"/>
        <v>319.2</v>
      </c>
      <c r="I11" s="2" t="s">
        <v>330</v>
      </c>
    </row>
    <row r="12" spans="1:10" x14ac:dyDescent="0.25">
      <c r="A12" s="2" t="s">
        <v>11</v>
      </c>
      <c r="B12" s="2" t="s">
        <v>81</v>
      </c>
      <c r="C12" s="2" t="s">
        <v>146</v>
      </c>
      <c r="D12" s="2" t="s">
        <v>209</v>
      </c>
      <c r="E12" s="2" t="s">
        <v>276</v>
      </c>
      <c r="F12" s="3">
        <v>1369</v>
      </c>
      <c r="G12" s="6">
        <f t="shared" si="0"/>
        <v>-219.04</v>
      </c>
      <c r="H12" s="6">
        <f t="shared" si="1"/>
        <v>1149.96</v>
      </c>
      <c r="I12" s="2" t="s">
        <v>331</v>
      </c>
    </row>
    <row r="13" spans="1:10" x14ac:dyDescent="0.25">
      <c r="A13" s="2" t="s">
        <v>12</v>
      </c>
      <c r="B13" s="2" t="s">
        <v>82</v>
      </c>
      <c r="C13" s="2"/>
      <c r="D13" s="2" t="s">
        <v>210</v>
      </c>
      <c r="E13" s="2" t="s">
        <v>277</v>
      </c>
      <c r="F13" s="3">
        <v>867</v>
      </c>
      <c r="G13" s="6">
        <f t="shared" si="0"/>
        <v>-138.72</v>
      </c>
      <c r="H13" s="6">
        <f t="shared" si="1"/>
        <v>728.28</v>
      </c>
      <c r="I13" s="2" t="s">
        <v>332</v>
      </c>
    </row>
    <row r="14" spans="1:10" x14ac:dyDescent="0.25">
      <c r="A14" s="2" t="s">
        <v>13</v>
      </c>
      <c r="B14" s="2" t="s">
        <v>83</v>
      </c>
      <c r="C14" s="2" t="s">
        <v>147</v>
      </c>
      <c r="D14" s="2" t="s">
        <v>211</v>
      </c>
      <c r="E14" s="2" t="s">
        <v>278</v>
      </c>
      <c r="F14" s="3">
        <v>385</v>
      </c>
      <c r="G14" s="6">
        <f t="shared" si="0"/>
        <v>-61.6</v>
      </c>
      <c r="H14" s="6">
        <f t="shared" si="1"/>
        <v>323.39999999999998</v>
      </c>
      <c r="I14" s="2" t="s">
        <v>333</v>
      </c>
    </row>
    <row r="15" spans="1:10" x14ac:dyDescent="0.25">
      <c r="A15" s="2" t="s">
        <v>14</v>
      </c>
      <c r="B15" s="2" t="s">
        <v>84</v>
      </c>
      <c r="C15" s="2" t="s">
        <v>148</v>
      </c>
      <c r="D15" s="2" t="s">
        <v>212</v>
      </c>
      <c r="E15" s="2" t="s">
        <v>278</v>
      </c>
      <c r="F15" s="3">
        <v>935</v>
      </c>
      <c r="G15" s="6">
        <f t="shared" si="0"/>
        <v>-149.6</v>
      </c>
      <c r="H15" s="6">
        <f t="shared" si="1"/>
        <v>785.4</v>
      </c>
      <c r="I15" s="2" t="s">
        <v>334</v>
      </c>
    </row>
    <row r="16" spans="1:10" x14ac:dyDescent="0.25">
      <c r="A16" s="2" t="s">
        <v>15</v>
      </c>
      <c r="B16" s="2" t="s">
        <v>85</v>
      </c>
      <c r="C16" s="2" t="s">
        <v>149</v>
      </c>
      <c r="D16" s="2" t="s">
        <v>213</v>
      </c>
      <c r="E16" s="2" t="s">
        <v>279</v>
      </c>
      <c r="F16" s="3">
        <v>855</v>
      </c>
      <c r="G16" s="6">
        <f t="shared" si="0"/>
        <v>-136.80000000000001</v>
      </c>
      <c r="H16" s="6">
        <f t="shared" si="1"/>
        <v>718.2</v>
      </c>
      <c r="I16" s="2" t="s">
        <v>335</v>
      </c>
    </row>
    <row r="17" spans="1:9" x14ac:dyDescent="0.25">
      <c r="A17" s="2" t="s">
        <v>16</v>
      </c>
      <c r="B17" s="2" t="s">
        <v>86</v>
      </c>
      <c r="C17" s="2" t="s">
        <v>150</v>
      </c>
      <c r="D17" s="2" t="s">
        <v>214</v>
      </c>
      <c r="E17" s="2" t="s">
        <v>280</v>
      </c>
      <c r="F17" s="3">
        <v>1926</v>
      </c>
      <c r="G17" s="6">
        <f t="shared" si="0"/>
        <v>-308.16000000000003</v>
      </c>
      <c r="H17" s="6">
        <f t="shared" si="1"/>
        <v>1617.84</v>
      </c>
      <c r="I17" s="2" t="s">
        <v>336</v>
      </c>
    </row>
    <row r="18" spans="1:9" x14ac:dyDescent="0.25">
      <c r="A18" s="2" t="s">
        <v>17</v>
      </c>
      <c r="B18" s="2" t="s">
        <v>87</v>
      </c>
      <c r="C18" s="2" t="s">
        <v>151</v>
      </c>
      <c r="D18" s="2" t="s">
        <v>215</v>
      </c>
      <c r="E18" s="2" t="s">
        <v>280</v>
      </c>
      <c r="F18" s="3">
        <v>2512</v>
      </c>
      <c r="G18" s="6">
        <f t="shared" si="0"/>
        <v>-401.92</v>
      </c>
      <c r="H18" s="6">
        <f t="shared" si="1"/>
        <v>2110.08</v>
      </c>
      <c r="I18" s="2" t="s">
        <v>337</v>
      </c>
    </row>
    <row r="19" spans="1:9" x14ac:dyDescent="0.25">
      <c r="A19" s="2" t="s">
        <v>18</v>
      </c>
      <c r="B19" s="2" t="s">
        <v>88</v>
      </c>
      <c r="C19" s="2" t="s">
        <v>152</v>
      </c>
      <c r="D19" s="2" t="s">
        <v>216</v>
      </c>
      <c r="E19" s="2" t="s">
        <v>281</v>
      </c>
      <c r="F19" s="3">
        <v>1253</v>
      </c>
      <c r="G19" s="6">
        <f t="shared" si="0"/>
        <v>-200.48000000000002</v>
      </c>
      <c r="H19" s="6">
        <f t="shared" si="1"/>
        <v>1052.52</v>
      </c>
      <c r="I19" s="2" t="s">
        <v>338</v>
      </c>
    </row>
    <row r="20" spans="1:9" x14ac:dyDescent="0.25">
      <c r="A20" s="2" t="s">
        <v>19</v>
      </c>
      <c r="B20" s="2" t="s">
        <v>89</v>
      </c>
      <c r="C20" s="2" t="s">
        <v>153</v>
      </c>
      <c r="D20" s="2" t="s">
        <v>217</v>
      </c>
      <c r="E20" s="2" t="s">
        <v>281</v>
      </c>
      <c r="F20" s="3">
        <v>578</v>
      </c>
      <c r="G20" s="6">
        <f t="shared" si="0"/>
        <v>-92.48</v>
      </c>
      <c r="H20" s="6">
        <f t="shared" si="1"/>
        <v>485.52</v>
      </c>
      <c r="I20" s="2" t="s">
        <v>339</v>
      </c>
    </row>
    <row r="21" spans="1:9" x14ac:dyDescent="0.25">
      <c r="A21" s="2" t="s">
        <v>20</v>
      </c>
      <c r="B21" s="2" t="s">
        <v>90</v>
      </c>
      <c r="C21" s="2" t="s">
        <v>154</v>
      </c>
      <c r="D21" s="2" t="s">
        <v>218</v>
      </c>
      <c r="E21" s="2" t="s">
        <v>281</v>
      </c>
      <c r="F21" s="3">
        <v>385</v>
      </c>
      <c r="G21" s="6">
        <f t="shared" si="0"/>
        <v>-61.6</v>
      </c>
      <c r="H21" s="6">
        <f t="shared" si="1"/>
        <v>323.39999999999998</v>
      </c>
      <c r="I21" s="2" t="s">
        <v>340</v>
      </c>
    </row>
    <row r="22" spans="1:9" x14ac:dyDescent="0.25">
      <c r="A22" s="2" t="s">
        <v>21</v>
      </c>
      <c r="B22" s="2" t="s">
        <v>91</v>
      </c>
      <c r="C22" s="2" t="s">
        <v>155</v>
      </c>
      <c r="D22" s="2" t="s">
        <v>219</v>
      </c>
      <c r="E22" s="2" t="s">
        <v>282</v>
      </c>
      <c r="F22" s="3">
        <v>855</v>
      </c>
      <c r="G22" s="6">
        <f t="shared" si="0"/>
        <v>-136.80000000000001</v>
      </c>
      <c r="H22" s="6">
        <f t="shared" si="1"/>
        <v>718.2</v>
      </c>
      <c r="I22" s="2" t="s">
        <v>341</v>
      </c>
    </row>
    <row r="23" spans="1:9" x14ac:dyDescent="0.25">
      <c r="A23" s="2" t="s">
        <v>22</v>
      </c>
      <c r="B23" s="2" t="s">
        <v>92</v>
      </c>
      <c r="C23" s="2" t="s">
        <v>156</v>
      </c>
      <c r="D23" s="2" t="s">
        <v>220</v>
      </c>
      <c r="E23" s="2" t="s">
        <v>283</v>
      </c>
      <c r="F23" s="3">
        <v>380</v>
      </c>
      <c r="G23" s="6">
        <f t="shared" si="0"/>
        <v>-60.800000000000004</v>
      </c>
      <c r="H23" s="6">
        <f t="shared" si="1"/>
        <v>319.2</v>
      </c>
      <c r="I23" s="2" t="s">
        <v>342</v>
      </c>
    </row>
    <row r="24" spans="1:9" x14ac:dyDescent="0.25">
      <c r="A24" s="2" t="s">
        <v>23</v>
      </c>
      <c r="B24" s="2" t="s">
        <v>93</v>
      </c>
      <c r="C24" s="2" t="s">
        <v>157</v>
      </c>
      <c r="D24" s="2" t="s">
        <v>221</v>
      </c>
      <c r="E24" s="2" t="s">
        <v>284</v>
      </c>
      <c r="F24" s="3">
        <v>855</v>
      </c>
      <c r="G24" s="6">
        <f t="shared" si="0"/>
        <v>-136.80000000000001</v>
      </c>
      <c r="H24" s="6">
        <f t="shared" si="1"/>
        <v>718.2</v>
      </c>
      <c r="I24" s="2" t="s">
        <v>343</v>
      </c>
    </row>
    <row r="25" spans="1:9" x14ac:dyDescent="0.25">
      <c r="A25" s="2" t="s">
        <v>24</v>
      </c>
      <c r="B25" s="2" t="s">
        <v>94</v>
      </c>
      <c r="C25" s="2" t="s">
        <v>158</v>
      </c>
      <c r="D25" s="2" t="s">
        <v>222</v>
      </c>
      <c r="E25" s="2" t="s">
        <v>285</v>
      </c>
      <c r="F25" s="3">
        <v>855</v>
      </c>
      <c r="G25" s="6">
        <f t="shared" si="0"/>
        <v>-136.80000000000001</v>
      </c>
      <c r="H25" s="6">
        <f t="shared" si="1"/>
        <v>718.2</v>
      </c>
      <c r="I25" s="2" t="s">
        <v>344</v>
      </c>
    </row>
    <row r="26" spans="1:9" x14ac:dyDescent="0.25">
      <c r="A26" s="2" t="s">
        <v>25</v>
      </c>
      <c r="B26" s="2" t="s">
        <v>95</v>
      </c>
      <c r="C26" s="2" t="s">
        <v>159</v>
      </c>
      <c r="D26" s="2" t="s">
        <v>223</v>
      </c>
      <c r="E26" s="2" t="s">
        <v>286</v>
      </c>
      <c r="F26" s="3">
        <v>895</v>
      </c>
      <c r="G26" s="6">
        <f t="shared" si="0"/>
        <v>-143.20000000000002</v>
      </c>
      <c r="H26" s="6">
        <f t="shared" si="1"/>
        <v>751.8</v>
      </c>
      <c r="I26" s="2" t="s">
        <v>345</v>
      </c>
    </row>
    <row r="27" spans="1:9" x14ac:dyDescent="0.25">
      <c r="A27" s="2" t="s">
        <v>26</v>
      </c>
      <c r="B27" s="2" t="s">
        <v>96</v>
      </c>
      <c r="C27" s="2" t="s">
        <v>160</v>
      </c>
      <c r="D27" s="2" t="s">
        <v>224</v>
      </c>
      <c r="E27" s="2" t="s">
        <v>287</v>
      </c>
      <c r="F27" s="3">
        <v>2512</v>
      </c>
      <c r="G27" s="6">
        <f t="shared" si="0"/>
        <v>-401.92</v>
      </c>
      <c r="H27" s="6">
        <f t="shared" si="1"/>
        <v>2110.08</v>
      </c>
      <c r="I27" s="2" t="s">
        <v>346</v>
      </c>
    </row>
    <row r="28" spans="1:9" x14ac:dyDescent="0.25">
      <c r="A28" s="2" t="s">
        <v>27</v>
      </c>
      <c r="B28" s="2" t="s">
        <v>97</v>
      </c>
      <c r="C28" s="2" t="s">
        <v>151</v>
      </c>
      <c r="D28" s="2" t="s">
        <v>225</v>
      </c>
      <c r="E28" s="2" t="s">
        <v>287</v>
      </c>
      <c r="F28" s="3">
        <v>895</v>
      </c>
      <c r="G28" s="6">
        <f t="shared" si="0"/>
        <v>-143.20000000000002</v>
      </c>
      <c r="H28" s="6">
        <f t="shared" si="1"/>
        <v>751.8</v>
      </c>
      <c r="I28" s="2" t="s">
        <v>347</v>
      </c>
    </row>
    <row r="29" spans="1:9" x14ac:dyDescent="0.25">
      <c r="A29" s="2" t="s">
        <v>28</v>
      </c>
      <c r="B29" s="2" t="s">
        <v>98</v>
      </c>
      <c r="C29" s="2" t="s">
        <v>161</v>
      </c>
      <c r="D29" s="2" t="s">
        <v>226</v>
      </c>
      <c r="E29" s="2" t="s">
        <v>288</v>
      </c>
      <c r="F29" s="3">
        <v>985</v>
      </c>
      <c r="G29" s="6">
        <f t="shared" si="0"/>
        <v>-157.6</v>
      </c>
      <c r="H29" s="6">
        <f t="shared" si="1"/>
        <v>827.4</v>
      </c>
      <c r="I29" s="2" t="s">
        <v>348</v>
      </c>
    </row>
    <row r="30" spans="1:9" x14ac:dyDescent="0.25">
      <c r="A30" s="2" t="s">
        <v>29</v>
      </c>
      <c r="B30" s="2" t="s">
        <v>99</v>
      </c>
      <c r="C30" s="2" t="s">
        <v>162</v>
      </c>
      <c r="D30" s="2" t="s">
        <v>227</v>
      </c>
      <c r="E30" s="2" t="s">
        <v>288</v>
      </c>
      <c r="F30" s="3">
        <v>985</v>
      </c>
      <c r="G30" s="6">
        <f t="shared" si="0"/>
        <v>-157.6</v>
      </c>
      <c r="H30" s="6">
        <f t="shared" si="1"/>
        <v>827.4</v>
      </c>
      <c r="I30" s="2" t="s">
        <v>349</v>
      </c>
    </row>
    <row r="31" spans="1:9" x14ac:dyDescent="0.25">
      <c r="A31" s="2" t="s">
        <v>30</v>
      </c>
      <c r="B31" s="2" t="s">
        <v>100</v>
      </c>
      <c r="C31" s="2" t="s">
        <v>163</v>
      </c>
      <c r="D31" s="2" t="s">
        <v>228</v>
      </c>
      <c r="E31" s="2" t="s">
        <v>289</v>
      </c>
      <c r="F31" s="3">
        <v>425</v>
      </c>
      <c r="G31" s="6">
        <f t="shared" si="0"/>
        <v>-68</v>
      </c>
      <c r="H31" s="6">
        <f t="shared" si="1"/>
        <v>357</v>
      </c>
      <c r="I31" s="2" t="s">
        <v>350</v>
      </c>
    </row>
    <row r="32" spans="1:9" x14ac:dyDescent="0.25">
      <c r="A32" s="2" t="s">
        <v>31</v>
      </c>
      <c r="B32" s="2" t="s">
        <v>101</v>
      </c>
      <c r="C32" s="2" t="s">
        <v>164</v>
      </c>
      <c r="D32" s="2" t="s">
        <v>229</v>
      </c>
      <c r="E32" s="2" t="s">
        <v>290</v>
      </c>
      <c r="F32" s="3">
        <v>875</v>
      </c>
      <c r="G32" s="6">
        <f t="shared" si="0"/>
        <v>-140</v>
      </c>
      <c r="H32" s="6">
        <f t="shared" si="1"/>
        <v>735</v>
      </c>
      <c r="I32" s="2" t="s">
        <v>351</v>
      </c>
    </row>
    <row r="33" spans="1:9" x14ac:dyDescent="0.25">
      <c r="A33" s="2" t="s">
        <v>32</v>
      </c>
      <c r="B33" s="2" t="s">
        <v>102</v>
      </c>
      <c r="C33" s="2" t="s">
        <v>143</v>
      </c>
      <c r="D33" s="2" t="s">
        <v>230</v>
      </c>
      <c r="E33" s="2" t="s">
        <v>291</v>
      </c>
      <c r="F33" s="3">
        <v>385</v>
      </c>
      <c r="G33" s="6">
        <f t="shared" si="0"/>
        <v>-61.6</v>
      </c>
      <c r="H33" s="6">
        <f t="shared" si="1"/>
        <v>323.39999999999998</v>
      </c>
      <c r="I33" s="2" t="s">
        <v>352</v>
      </c>
    </row>
    <row r="34" spans="1:9" x14ac:dyDescent="0.25">
      <c r="A34" s="2" t="s">
        <v>33</v>
      </c>
      <c r="B34" s="2" t="s">
        <v>103</v>
      </c>
      <c r="C34" s="2" t="s">
        <v>165</v>
      </c>
      <c r="D34" s="2" t="s">
        <v>231</v>
      </c>
      <c r="E34" s="2" t="s">
        <v>291</v>
      </c>
      <c r="F34" s="3">
        <v>985</v>
      </c>
      <c r="G34" s="6">
        <f t="shared" si="0"/>
        <v>-157.6</v>
      </c>
      <c r="H34" s="6">
        <f t="shared" si="1"/>
        <v>827.4</v>
      </c>
      <c r="I34" s="2" t="s">
        <v>353</v>
      </c>
    </row>
    <row r="35" spans="1:9" x14ac:dyDescent="0.25">
      <c r="A35" s="2" t="s">
        <v>34</v>
      </c>
      <c r="B35" s="2" t="s">
        <v>104</v>
      </c>
      <c r="C35" s="2" t="s">
        <v>166</v>
      </c>
      <c r="D35" s="2" t="s">
        <v>232</v>
      </c>
      <c r="E35" s="2" t="s">
        <v>291</v>
      </c>
      <c r="F35" s="3">
        <v>875</v>
      </c>
      <c r="G35" s="6">
        <f t="shared" si="0"/>
        <v>-140</v>
      </c>
      <c r="H35" s="6">
        <f t="shared" si="1"/>
        <v>735</v>
      </c>
      <c r="I35" s="2" t="s">
        <v>354</v>
      </c>
    </row>
    <row r="36" spans="1:9" x14ac:dyDescent="0.25">
      <c r="A36" s="2" t="s">
        <v>35</v>
      </c>
      <c r="B36" s="2" t="s">
        <v>105</v>
      </c>
      <c r="C36" s="2" t="s">
        <v>167</v>
      </c>
      <c r="D36" s="2" t="s">
        <v>233</v>
      </c>
      <c r="E36" s="2" t="s">
        <v>292</v>
      </c>
      <c r="F36" s="3">
        <v>985</v>
      </c>
      <c r="G36" s="6">
        <f t="shared" si="0"/>
        <v>-157.6</v>
      </c>
      <c r="H36" s="6">
        <f t="shared" si="1"/>
        <v>827.4</v>
      </c>
      <c r="I36" s="2" t="s">
        <v>355</v>
      </c>
    </row>
    <row r="37" spans="1:9" x14ac:dyDescent="0.25">
      <c r="A37" s="2" t="s">
        <v>36</v>
      </c>
      <c r="B37" s="2" t="s">
        <v>106</v>
      </c>
      <c r="C37" s="2" t="s">
        <v>168</v>
      </c>
      <c r="D37" s="2" t="s">
        <v>234</v>
      </c>
      <c r="E37" s="2" t="s">
        <v>293</v>
      </c>
      <c r="F37" s="3">
        <v>1350</v>
      </c>
      <c r="G37" s="6">
        <f t="shared" si="0"/>
        <v>-216</v>
      </c>
      <c r="H37" s="6">
        <f t="shared" si="1"/>
        <v>1134</v>
      </c>
      <c r="I37" s="2" t="s">
        <v>356</v>
      </c>
    </row>
    <row r="38" spans="1:9" x14ac:dyDescent="0.25">
      <c r="A38" s="2" t="s">
        <v>37</v>
      </c>
      <c r="B38" s="2" t="s">
        <v>107</v>
      </c>
      <c r="C38" s="2" t="s">
        <v>169</v>
      </c>
      <c r="D38" s="2" t="s">
        <v>235</v>
      </c>
      <c r="E38" s="2" t="s">
        <v>293</v>
      </c>
      <c r="F38" s="3">
        <v>1773</v>
      </c>
      <c r="G38" s="6">
        <f t="shared" si="0"/>
        <v>-283.68</v>
      </c>
      <c r="H38" s="6">
        <f t="shared" si="1"/>
        <v>1489.32</v>
      </c>
      <c r="I38" s="2" t="s">
        <v>357</v>
      </c>
    </row>
    <row r="39" spans="1:9" x14ac:dyDescent="0.25">
      <c r="A39" s="2" t="s">
        <v>38</v>
      </c>
      <c r="B39" s="2" t="s">
        <v>108</v>
      </c>
      <c r="C39" s="2" t="s">
        <v>170</v>
      </c>
      <c r="D39" s="2" t="s">
        <v>236</v>
      </c>
      <c r="E39" s="2" t="s">
        <v>294</v>
      </c>
      <c r="F39" s="3">
        <v>1750</v>
      </c>
      <c r="G39" s="6">
        <f t="shared" si="0"/>
        <v>-280</v>
      </c>
      <c r="H39" s="6">
        <f t="shared" si="1"/>
        <v>1470</v>
      </c>
      <c r="I39" s="2" t="s">
        <v>358</v>
      </c>
    </row>
    <row r="40" spans="1:9" x14ac:dyDescent="0.25">
      <c r="A40" s="2" t="s">
        <v>39</v>
      </c>
      <c r="B40" s="2" t="s">
        <v>109</v>
      </c>
      <c r="C40" s="2" t="s">
        <v>171</v>
      </c>
      <c r="D40" s="2" t="s">
        <v>237</v>
      </c>
      <c r="E40" s="2" t="s">
        <v>295</v>
      </c>
      <c r="F40" s="3">
        <v>875</v>
      </c>
      <c r="G40" s="6">
        <f t="shared" si="0"/>
        <v>-140</v>
      </c>
      <c r="H40" s="6">
        <f t="shared" si="1"/>
        <v>735</v>
      </c>
      <c r="I40" s="2" t="s">
        <v>359</v>
      </c>
    </row>
    <row r="41" spans="1:9" x14ac:dyDescent="0.25">
      <c r="A41" s="2" t="s">
        <v>40</v>
      </c>
      <c r="B41" s="2" t="s">
        <v>110</v>
      </c>
      <c r="C41" s="2" t="s">
        <v>172</v>
      </c>
      <c r="D41" s="2" t="s">
        <v>238</v>
      </c>
      <c r="E41" s="2" t="s">
        <v>296</v>
      </c>
      <c r="F41" s="3">
        <v>985</v>
      </c>
      <c r="G41" s="6">
        <f t="shared" si="0"/>
        <v>-157.6</v>
      </c>
      <c r="H41" s="6">
        <f t="shared" si="1"/>
        <v>827.4</v>
      </c>
      <c r="I41" s="2" t="s">
        <v>360</v>
      </c>
    </row>
    <row r="42" spans="1:9" x14ac:dyDescent="0.25">
      <c r="A42" s="2" t="s">
        <v>41</v>
      </c>
      <c r="B42" s="2" t="s">
        <v>111</v>
      </c>
      <c r="C42" s="2" t="s">
        <v>173</v>
      </c>
      <c r="D42" s="2" t="s">
        <v>239</v>
      </c>
      <c r="E42" s="2" t="s">
        <v>297</v>
      </c>
      <c r="F42" s="3">
        <v>665</v>
      </c>
      <c r="G42" s="6">
        <f t="shared" si="0"/>
        <v>-106.4</v>
      </c>
      <c r="H42" s="6">
        <f t="shared" si="1"/>
        <v>558.6</v>
      </c>
      <c r="I42" s="2" t="s">
        <v>361</v>
      </c>
    </row>
    <row r="43" spans="1:9" x14ac:dyDescent="0.25">
      <c r="A43" s="2" t="s">
        <v>42</v>
      </c>
      <c r="B43" s="2" t="s">
        <v>112</v>
      </c>
      <c r="C43" s="2" t="s">
        <v>174</v>
      </c>
      <c r="D43" s="2" t="s">
        <v>240</v>
      </c>
      <c r="E43" s="2" t="s">
        <v>298</v>
      </c>
      <c r="F43" s="3">
        <v>1350</v>
      </c>
      <c r="G43" s="6">
        <f t="shared" si="0"/>
        <v>-216</v>
      </c>
      <c r="H43" s="6">
        <f t="shared" si="1"/>
        <v>1134</v>
      </c>
      <c r="I43" s="2" t="s">
        <v>362</v>
      </c>
    </row>
    <row r="44" spans="1:9" x14ac:dyDescent="0.25">
      <c r="A44" s="2" t="s">
        <v>43</v>
      </c>
      <c r="B44" s="2" t="s">
        <v>113</v>
      </c>
      <c r="C44" s="2" t="s">
        <v>175</v>
      </c>
      <c r="D44" s="2" t="s">
        <v>241</v>
      </c>
      <c r="E44" s="2" t="s">
        <v>299</v>
      </c>
      <c r="F44" s="3">
        <v>985</v>
      </c>
      <c r="G44" s="6">
        <f t="shared" si="0"/>
        <v>-157.6</v>
      </c>
      <c r="H44" s="6">
        <f t="shared" si="1"/>
        <v>827.4</v>
      </c>
      <c r="I44" s="2" t="s">
        <v>363</v>
      </c>
    </row>
    <row r="45" spans="1:9" x14ac:dyDescent="0.25">
      <c r="A45" s="2" t="s">
        <v>44</v>
      </c>
      <c r="B45" s="2" t="s">
        <v>114</v>
      </c>
      <c r="C45" s="2" t="s">
        <v>176</v>
      </c>
      <c r="D45" s="2" t="s">
        <v>242</v>
      </c>
      <c r="E45" s="2" t="s">
        <v>300</v>
      </c>
      <c r="F45" s="3">
        <v>1663</v>
      </c>
      <c r="G45" s="6">
        <f t="shared" si="0"/>
        <v>-266.08</v>
      </c>
      <c r="H45" s="6">
        <f t="shared" si="1"/>
        <v>1396.92</v>
      </c>
      <c r="I45" s="2" t="s">
        <v>364</v>
      </c>
    </row>
    <row r="46" spans="1:9" x14ac:dyDescent="0.25">
      <c r="A46" s="2" t="s">
        <v>45</v>
      </c>
      <c r="B46" s="2" t="s">
        <v>115</v>
      </c>
      <c r="C46" s="2" t="s">
        <v>140</v>
      </c>
      <c r="D46" s="2" t="s">
        <v>243</v>
      </c>
      <c r="E46" s="2" t="s">
        <v>301</v>
      </c>
      <c r="F46" s="3">
        <v>1379</v>
      </c>
      <c r="G46" s="6">
        <f t="shared" si="0"/>
        <v>-220.64000000000001</v>
      </c>
      <c r="H46" s="6">
        <f t="shared" si="1"/>
        <v>1158.3599999999999</v>
      </c>
      <c r="I46" s="2" t="s">
        <v>365</v>
      </c>
    </row>
    <row r="47" spans="1:9" x14ac:dyDescent="0.25">
      <c r="A47" s="2" t="s">
        <v>46</v>
      </c>
      <c r="B47" s="2" t="s">
        <v>116</v>
      </c>
      <c r="C47" s="2" t="s">
        <v>177</v>
      </c>
      <c r="D47" s="2" t="s">
        <v>244</v>
      </c>
      <c r="E47" s="2" t="s">
        <v>302</v>
      </c>
      <c r="F47" s="3">
        <v>985</v>
      </c>
      <c r="G47" s="6">
        <f t="shared" si="0"/>
        <v>-157.6</v>
      </c>
      <c r="H47" s="6">
        <f t="shared" si="1"/>
        <v>827.4</v>
      </c>
      <c r="I47" s="2" t="s">
        <v>366</v>
      </c>
    </row>
    <row r="48" spans="1:9" x14ac:dyDescent="0.25">
      <c r="A48" s="2" t="s">
        <v>47</v>
      </c>
      <c r="B48" s="2" t="s">
        <v>117</v>
      </c>
      <c r="C48" s="2" t="s">
        <v>178</v>
      </c>
      <c r="D48" s="2" t="s">
        <v>245</v>
      </c>
      <c r="E48" s="2" t="s">
        <v>303</v>
      </c>
      <c r="F48" s="3">
        <v>2118</v>
      </c>
      <c r="G48" s="6">
        <f t="shared" si="0"/>
        <v>-338.88</v>
      </c>
      <c r="H48" s="6">
        <f t="shared" si="1"/>
        <v>1779.12</v>
      </c>
      <c r="I48" s="2" t="s">
        <v>367</v>
      </c>
    </row>
    <row r="49" spans="1:9" x14ac:dyDescent="0.25">
      <c r="A49" s="2" t="s">
        <v>48</v>
      </c>
      <c r="B49" s="2" t="s">
        <v>118</v>
      </c>
      <c r="C49" s="2" t="s">
        <v>179</v>
      </c>
      <c r="D49" s="2" t="s">
        <v>246</v>
      </c>
      <c r="E49" s="2" t="s">
        <v>303</v>
      </c>
      <c r="F49" s="3">
        <v>665</v>
      </c>
      <c r="G49" s="6">
        <f t="shared" si="0"/>
        <v>-106.4</v>
      </c>
      <c r="H49" s="6">
        <f t="shared" si="1"/>
        <v>558.6</v>
      </c>
      <c r="I49" s="2" t="s">
        <v>368</v>
      </c>
    </row>
    <row r="50" spans="1:9" x14ac:dyDescent="0.25">
      <c r="A50" s="2" t="s">
        <v>49</v>
      </c>
      <c r="B50" s="2" t="s">
        <v>119</v>
      </c>
      <c r="C50" s="2" t="s">
        <v>180</v>
      </c>
      <c r="D50" s="2" t="s">
        <v>247</v>
      </c>
      <c r="E50" s="2" t="s">
        <v>304</v>
      </c>
      <c r="F50" s="3">
        <v>665</v>
      </c>
      <c r="G50" s="6">
        <f t="shared" si="0"/>
        <v>-106.4</v>
      </c>
      <c r="H50" s="6">
        <f t="shared" si="1"/>
        <v>558.6</v>
      </c>
      <c r="I50" s="2" t="s">
        <v>369</v>
      </c>
    </row>
    <row r="51" spans="1:9" x14ac:dyDescent="0.25">
      <c r="A51" s="2" t="s">
        <v>50</v>
      </c>
      <c r="B51" s="2" t="s">
        <v>120</v>
      </c>
      <c r="C51" s="2" t="s">
        <v>181</v>
      </c>
      <c r="D51" s="2" t="s">
        <v>248</v>
      </c>
      <c r="E51" s="2" t="s">
        <v>305</v>
      </c>
      <c r="F51" s="3">
        <v>985</v>
      </c>
      <c r="G51" s="6">
        <f t="shared" si="0"/>
        <v>-157.6</v>
      </c>
      <c r="H51" s="6">
        <f t="shared" si="1"/>
        <v>827.4</v>
      </c>
      <c r="I51" s="2" t="s">
        <v>370</v>
      </c>
    </row>
    <row r="52" spans="1:9" x14ac:dyDescent="0.25">
      <c r="A52" s="2" t="s">
        <v>51</v>
      </c>
      <c r="B52" s="2" t="s">
        <v>121</v>
      </c>
      <c r="C52" s="2" t="s">
        <v>182</v>
      </c>
      <c r="D52" s="2" t="s">
        <v>249</v>
      </c>
      <c r="E52" s="2" t="s">
        <v>305</v>
      </c>
      <c r="F52" s="3">
        <v>850</v>
      </c>
      <c r="G52" s="6">
        <f t="shared" si="0"/>
        <v>-136</v>
      </c>
      <c r="H52" s="6">
        <f t="shared" si="1"/>
        <v>714</v>
      </c>
      <c r="I52" s="2" t="s">
        <v>371</v>
      </c>
    </row>
    <row r="53" spans="1:9" x14ac:dyDescent="0.25">
      <c r="A53" s="2" t="s">
        <v>52</v>
      </c>
      <c r="B53" s="2" t="s">
        <v>118</v>
      </c>
      <c r="C53" s="2" t="s">
        <v>183</v>
      </c>
      <c r="D53" s="2" t="s">
        <v>250</v>
      </c>
      <c r="E53" s="2" t="s">
        <v>306</v>
      </c>
      <c r="F53" s="3">
        <v>771</v>
      </c>
      <c r="G53" s="6">
        <f t="shared" si="0"/>
        <v>-123.36</v>
      </c>
      <c r="H53" s="6">
        <f t="shared" si="1"/>
        <v>647.64</v>
      </c>
      <c r="I53" s="2" t="s">
        <v>372</v>
      </c>
    </row>
    <row r="54" spans="1:9" x14ac:dyDescent="0.25">
      <c r="A54" s="2" t="s">
        <v>53</v>
      </c>
      <c r="B54" s="2" t="s">
        <v>122</v>
      </c>
      <c r="C54" s="2" t="s">
        <v>184</v>
      </c>
      <c r="D54" s="2" t="s">
        <v>251</v>
      </c>
      <c r="E54" s="2" t="s">
        <v>307</v>
      </c>
      <c r="F54" s="3">
        <v>1379</v>
      </c>
      <c r="G54" s="6">
        <f t="shared" si="0"/>
        <v>-220.64000000000001</v>
      </c>
      <c r="H54" s="6">
        <f t="shared" si="1"/>
        <v>1158.3599999999999</v>
      </c>
      <c r="I54" s="2" t="s">
        <v>373</v>
      </c>
    </row>
    <row r="55" spans="1:9" x14ac:dyDescent="0.25">
      <c r="A55" s="2" t="s">
        <v>54</v>
      </c>
      <c r="B55" s="2" t="s">
        <v>123</v>
      </c>
      <c r="C55" s="2" t="s">
        <v>185</v>
      </c>
      <c r="D55" s="2" t="s">
        <v>252</v>
      </c>
      <c r="E55" s="2" t="s">
        <v>308</v>
      </c>
      <c r="F55" s="3">
        <v>2118</v>
      </c>
      <c r="G55" s="6">
        <f t="shared" si="0"/>
        <v>-338.88</v>
      </c>
      <c r="H55" s="6">
        <f t="shared" si="1"/>
        <v>1779.12</v>
      </c>
      <c r="I55" s="2" t="s">
        <v>374</v>
      </c>
    </row>
    <row r="56" spans="1:9" x14ac:dyDescent="0.25">
      <c r="A56" s="2" t="s">
        <v>55</v>
      </c>
      <c r="B56" s="2" t="s">
        <v>124</v>
      </c>
      <c r="C56" s="2" t="s">
        <v>186</v>
      </c>
      <c r="D56" s="2" t="s">
        <v>253</v>
      </c>
      <c r="E56" s="2" t="s">
        <v>309</v>
      </c>
      <c r="F56" s="3">
        <v>665</v>
      </c>
      <c r="G56" s="6">
        <f t="shared" si="0"/>
        <v>-106.4</v>
      </c>
      <c r="H56" s="6">
        <f t="shared" si="1"/>
        <v>558.6</v>
      </c>
      <c r="I56" s="2" t="s">
        <v>375</v>
      </c>
    </row>
    <row r="57" spans="1:9" x14ac:dyDescent="0.25">
      <c r="A57" s="2" t="s">
        <v>56</v>
      </c>
      <c r="B57" s="2" t="s">
        <v>125</v>
      </c>
      <c r="C57" s="2" t="s">
        <v>187</v>
      </c>
      <c r="D57" s="2" t="s">
        <v>254</v>
      </c>
      <c r="E57" s="2" t="s">
        <v>310</v>
      </c>
      <c r="F57" s="3">
        <v>665</v>
      </c>
      <c r="G57" s="6">
        <f t="shared" si="0"/>
        <v>-106.4</v>
      </c>
      <c r="H57" s="6">
        <f t="shared" si="1"/>
        <v>558.6</v>
      </c>
      <c r="I57" s="2" t="s">
        <v>376</v>
      </c>
    </row>
    <row r="58" spans="1:9" x14ac:dyDescent="0.25">
      <c r="A58" s="2" t="s">
        <v>57</v>
      </c>
      <c r="B58" s="2" t="s">
        <v>126</v>
      </c>
      <c r="C58" s="2" t="s">
        <v>188</v>
      </c>
      <c r="D58" s="2" t="s">
        <v>255</v>
      </c>
      <c r="E58" s="2" t="s">
        <v>311</v>
      </c>
      <c r="F58" s="3">
        <v>565</v>
      </c>
      <c r="G58" s="6">
        <f t="shared" si="0"/>
        <v>-90.4</v>
      </c>
      <c r="H58" s="6">
        <f t="shared" si="1"/>
        <v>474.6</v>
      </c>
      <c r="I58" s="2" t="s">
        <v>377</v>
      </c>
    </row>
    <row r="59" spans="1:9" x14ac:dyDescent="0.25">
      <c r="A59" s="2" t="s">
        <v>58</v>
      </c>
      <c r="B59" s="2" t="s">
        <v>127</v>
      </c>
      <c r="C59" s="2" t="s">
        <v>189</v>
      </c>
      <c r="D59" s="2" t="s">
        <v>256</v>
      </c>
      <c r="E59" s="2" t="s">
        <v>311</v>
      </c>
      <c r="F59" s="3">
        <v>1598</v>
      </c>
      <c r="G59" s="6">
        <f t="shared" si="0"/>
        <v>-255.68</v>
      </c>
      <c r="H59" s="6">
        <f t="shared" si="1"/>
        <v>1342.32</v>
      </c>
      <c r="I59" s="2" t="s">
        <v>378</v>
      </c>
    </row>
    <row r="60" spans="1:9" x14ac:dyDescent="0.25">
      <c r="A60" s="2" t="s">
        <v>59</v>
      </c>
      <c r="B60" s="2" t="s">
        <v>128</v>
      </c>
      <c r="C60" s="2" t="s">
        <v>175</v>
      </c>
      <c r="D60" s="2" t="s">
        <v>257</v>
      </c>
      <c r="E60" s="2" t="s">
        <v>312</v>
      </c>
      <c r="F60" s="3">
        <v>385</v>
      </c>
      <c r="G60" s="6">
        <f t="shared" si="0"/>
        <v>-61.6</v>
      </c>
      <c r="H60" s="6">
        <f t="shared" si="1"/>
        <v>323.39999999999998</v>
      </c>
      <c r="I60" s="2" t="s">
        <v>379</v>
      </c>
    </row>
    <row r="61" spans="1:9" x14ac:dyDescent="0.25">
      <c r="A61" s="2" t="s">
        <v>60</v>
      </c>
      <c r="B61" s="2" t="s">
        <v>129</v>
      </c>
      <c r="C61" s="2" t="s">
        <v>190</v>
      </c>
      <c r="D61" s="2" t="s">
        <v>258</v>
      </c>
      <c r="E61" s="2" t="s">
        <v>313</v>
      </c>
      <c r="F61" s="3">
        <v>985</v>
      </c>
      <c r="G61" s="6">
        <f t="shared" si="0"/>
        <v>-157.6</v>
      </c>
      <c r="H61" s="6">
        <f t="shared" si="1"/>
        <v>827.4</v>
      </c>
      <c r="I61" s="2" t="s">
        <v>380</v>
      </c>
    </row>
    <row r="62" spans="1:9" x14ac:dyDescent="0.25">
      <c r="A62" s="2" t="s">
        <v>61</v>
      </c>
      <c r="B62" s="2" t="s">
        <v>130</v>
      </c>
      <c r="C62" s="2" t="s">
        <v>191</v>
      </c>
      <c r="D62" s="2" t="s">
        <v>259</v>
      </c>
      <c r="E62" s="2" t="s">
        <v>313</v>
      </c>
      <c r="F62" s="3">
        <v>665</v>
      </c>
      <c r="G62" s="6">
        <f t="shared" si="0"/>
        <v>-106.4</v>
      </c>
      <c r="H62" s="6">
        <f t="shared" si="1"/>
        <v>558.6</v>
      </c>
      <c r="I62" s="2" t="s">
        <v>381</v>
      </c>
    </row>
    <row r="63" spans="1:9" x14ac:dyDescent="0.25">
      <c r="A63" s="2" t="s">
        <v>62</v>
      </c>
      <c r="B63" s="2" t="s">
        <v>131</v>
      </c>
      <c r="C63" s="2" t="s">
        <v>192</v>
      </c>
      <c r="D63" s="2" t="s">
        <v>260</v>
      </c>
      <c r="E63" s="2" t="s">
        <v>314</v>
      </c>
      <c r="F63" s="3">
        <v>875</v>
      </c>
      <c r="G63" s="6">
        <f t="shared" si="0"/>
        <v>-140</v>
      </c>
      <c r="H63" s="6">
        <f t="shared" si="1"/>
        <v>735</v>
      </c>
      <c r="I63" s="2" t="s">
        <v>382</v>
      </c>
    </row>
    <row r="64" spans="1:9" x14ac:dyDescent="0.25">
      <c r="A64" s="2" t="s">
        <v>63</v>
      </c>
      <c r="B64" s="2" t="s">
        <v>132</v>
      </c>
      <c r="C64" s="2" t="s">
        <v>193</v>
      </c>
      <c r="D64" s="2" t="s">
        <v>261</v>
      </c>
      <c r="E64" s="2" t="s">
        <v>314</v>
      </c>
      <c r="F64" s="3">
        <v>665</v>
      </c>
      <c r="G64" s="6">
        <f t="shared" si="0"/>
        <v>-106.4</v>
      </c>
      <c r="H64" s="6">
        <f t="shared" si="1"/>
        <v>558.6</v>
      </c>
      <c r="I64" s="2" t="s">
        <v>383</v>
      </c>
    </row>
    <row r="65" spans="1:9" x14ac:dyDescent="0.25">
      <c r="A65" s="2" t="s">
        <v>64</v>
      </c>
      <c r="B65" s="2" t="s">
        <v>91</v>
      </c>
      <c r="C65" s="2" t="s">
        <v>147</v>
      </c>
      <c r="D65" s="2" t="s">
        <v>262</v>
      </c>
      <c r="E65" s="2" t="s">
        <v>314</v>
      </c>
      <c r="F65" s="3">
        <v>385</v>
      </c>
      <c r="G65" s="6">
        <f t="shared" si="0"/>
        <v>-61.6</v>
      </c>
      <c r="H65" s="6">
        <f t="shared" si="1"/>
        <v>323.39999999999998</v>
      </c>
      <c r="I65" s="2" t="s">
        <v>384</v>
      </c>
    </row>
    <row r="66" spans="1:9" x14ac:dyDescent="0.25">
      <c r="A66" s="2" t="s">
        <v>65</v>
      </c>
      <c r="B66" s="2" t="s">
        <v>133</v>
      </c>
      <c r="C66" s="2" t="s">
        <v>194</v>
      </c>
      <c r="D66" s="2" t="s">
        <v>263</v>
      </c>
      <c r="E66" s="2" t="s">
        <v>315</v>
      </c>
      <c r="F66" s="3">
        <v>771</v>
      </c>
      <c r="G66" s="6">
        <f t="shared" si="0"/>
        <v>-123.36</v>
      </c>
      <c r="H66" s="6">
        <f t="shared" si="1"/>
        <v>647.64</v>
      </c>
      <c r="I66" s="2" t="s">
        <v>385</v>
      </c>
    </row>
    <row r="67" spans="1:9" x14ac:dyDescent="0.25">
      <c r="A67" s="2" t="s">
        <v>66</v>
      </c>
      <c r="B67" s="2" t="s">
        <v>134</v>
      </c>
      <c r="C67" s="2" t="s">
        <v>195</v>
      </c>
      <c r="D67" s="2" t="s">
        <v>264</v>
      </c>
      <c r="E67" s="2" t="s">
        <v>316</v>
      </c>
      <c r="F67" s="3">
        <v>1112</v>
      </c>
      <c r="G67" s="6">
        <f t="shared" ref="G67:G71" si="2">-F67*0.16</f>
        <v>-177.92000000000002</v>
      </c>
      <c r="H67" s="6">
        <f t="shared" ref="H67:H71" si="3">F67+G67</f>
        <v>934.07999999999993</v>
      </c>
      <c r="I67" s="2" t="s">
        <v>386</v>
      </c>
    </row>
    <row r="68" spans="1:9" x14ac:dyDescent="0.25">
      <c r="A68" s="2" t="s">
        <v>67</v>
      </c>
      <c r="B68" s="2" t="s">
        <v>135</v>
      </c>
      <c r="C68" s="2" t="s">
        <v>196</v>
      </c>
      <c r="D68" s="2" t="s">
        <v>265</v>
      </c>
      <c r="E68" s="2" t="s">
        <v>317</v>
      </c>
      <c r="F68" s="3">
        <v>2685</v>
      </c>
      <c r="G68" s="6">
        <f t="shared" si="2"/>
        <v>-429.6</v>
      </c>
      <c r="H68" s="6">
        <f t="shared" si="3"/>
        <v>2255.4</v>
      </c>
      <c r="I68" s="2" t="s">
        <v>387</v>
      </c>
    </row>
    <row r="69" spans="1:9" x14ac:dyDescent="0.25">
      <c r="A69" s="2" t="s">
        <v>68</v>
      </c>
      <c r="B69" s="2" t="s">
        <v>136</v>
      </c>
      <c r="C69" s="2" t="s">
        <v>166</v>
      </c>
      <c r="D69" s="2" t="s">
        <v>266</v>
      </c>
      <c r="E69" s="2" t="s">
        <v>318</v>
      </c>
      <c r="F69" s="3">
        <v>875</v>
      </c>
      <c r="G69" s="6">
        <f t="shared" si="2"/>
        <v>-140</v>
      </c>
      <c r="H69" s="6">
        <f t="shared" si="3"/>
        <v>735</v>
      </c>
      <c r="I69" s="2" t="s">
        <v>388</v>
      </c>
    </row>
    <row r="70" spans="1:9" x14ac:dyDescent="0.25">
      <c r="A70" s="2" t="s">
        <v>69</v>
      </c>
      <c r="B70" s="2" t="s">
        <v>137</v>
      </c>
      <c r="C70" s="2" t="s">
        <v>197</v>
      </c>
      <c r="D70" s="2" t="s">
        <v>267</v>
      </c>
      <c r="E70" s="2" t="s">
        <v>319</v>
      </c>
      <c r="F70" s="3">
        <v>385</v>
      </c>
      <c r="G70" s="6">
        <f t="shared" si="2"/>
        <v>-61.6</v>
      </c>
      <c r="H70" s="6">
        <f t="shared" si="3"/>
        <v>323.39999999999998</v>
      </c>
      <c r="I70" s="2" t="s">
        <v>389</v>
      </c>
    </row>
    <row r="71" spans="1:9" x14ac:dyDescent="0.25">
      <c r="A71" s="2" t="s">
        <v>70</v>
      </c>
      <c r="B71" s="2" t="s">
        <v>117</v>
      </c>
      <c r="C71" s="2" t="s">
        <v>198</v>
      </c>
      <c r="D71" s="2" t="s">
        <v>268</v>
      </c>
      <c r="E71" s="2" t="s">
        <v>320</v>
      </c>
      <c r="F71" s="3">
        <v>985</v>
      </c>
      <c r="G71" s="6">
        <f t="shared" si="2"/>
        <v>-157.6</v>
      </c>
      <c r="H71" s="6">
        <f t="shared" si="3"/>
        <v>827.4</v>
      </c>
      <c r="I71" s="2" t="s">
        <v>390</v>
      </c>
    </row>
    <row r="72" spans="1:9" x14ac:dyDescent="0.25">
      <c r="F72" s="4">
        <f>SUM(F3:F71)</f>
        <v>70764</v>
      </c>
      <c r="G72" s="4">
        <f>SUM(G3:G71)</f>
        <v>-11322.240000000003</v>
      </c>
      <c r="H72" s="4">
        <f>SUM(H3:H71)</f>
        <v>59441.760000000009</v>
      </c>
    </row>
  </sheetData>
  <mergeCells count="2">
    <mergeCell ref="I2:J2"/>
    <mergeCell ref="A1:J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227137-5E86-47C8-A379-73260035D6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E9C80C-0C8B-4BC2-9238-A78296F3D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ce65fa-0ba4-44e4-81e0-b2b7171ff789"/>
    <ds:schemaRef ds:uri="cee0ef1f-d48c-4acf-aaf6-c7148a9f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09291F-13E6-49E6-8EED-3F51A6F70087}">
  <ds:schemaRefs>
    <ds:schemaRef ds:uri="http://schemas.microsoft.com/office/2006/metadata/properties"/>
    <ds:schemaRef ds:uri="http://schemas.microsoft.com/office/infopath/2007/PartnerControls"/>
    <ds:schemaRef ds:uri="cee0ef1f-d48c-4acf-aaf6-c7148a9fc483"/>
    <ds:schemaRef ds:uri="ccce65fa-0ba4-44e4-81e0-b2b7171ff7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2026-02-13T06:46:07Z</dcterms:created>
  <dcterms:modified xsi:type="dcterms:W3CDTF">2026-02-13T12:12:47Z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